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중등123마을(10시)\2026년\260807_09_여름수련회\프로그램팀\"/>
    </mc:Choice>
  </mc:AlternateContent>
  <xr:revisionPtr revIDLastSave="0" documentId="13_ncr:1_{CCD426B5-F3A9-44D9-96B8-54E502A7294F}" xr6:coauthVersionLast="47" xr6:coauthVersionMax="47" xr10:uidLastSave="{00000000-0000-0000-0000-000000000000}"/>
  <bookViews>
    <workbookView xWindow="90" yWindow="1605" windowWidth="28710" windowHeight="13560" xr2:uid="{87E3E55D-6716-44DD-A424-41CF77EF4E6D}"/>
  </bookViews>
  <sheets>
    <sheet name="점수 기재 양식" sheetId="3" r:id="rId1"/>
    <sheet name="시뮬레이션 사례" sheetId="1" r:id="rId2"/>
    <sheet name="점수 기재 양식 (함수문 포함)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2" i="2" l="1"/>
  <c r="J42" i="2"/>
  <c r="M42" i="2" s="1"/>
  <c r="H42" i="2"/>
  <c r="I42" i="2" s="1"/>
  <c r="L42" i="2" s="1"/>
  <c r="K41" i="2"/>
  <c r="J41" i="2"/>
  <c r="M41" i="2" s="1"/>
  <c r="H41" i="2"/>
  <c r="I41" i="2" s="1"/>
  <c r="L41" i="2" s="1"/>
  <c r="N41" i="2" s="1"/>
  <c r="K40" i="2"/>
  <c r="J40" i="2"/>
  <c r="M40" i="2" s="1"/>
  <c r="H40" i="2"/>
  <c r="I40" i="2" s="1"/>
  <c r="L40" i="2" s="1"/>
  <c r="K39" i="2"/>
  <c r="J39" i="2"/>
  <c r="M39" i="2" s="1"/>
  <c r="H39" i="2"/>
  <c r="I39" i="2" s="1"/>
  <c r="L39" i="2" s="1"/>
  <c r="K38" i="2"/>
  <c r="J38" i="2"/>
  <c r="M38" i="2" s="1"/>
  <c r="H38" i="2"/>
  <c r="I38" i="2" s="1"/>
  <c r="L38" i="2" s="1"/>
  <c r="N38" i="2" s="1"/>
  <c r="K37" i="2"/>
  <c r="J37" i="2"/>
  <c r="M37" i="2" s="1"/>
  <c r="H37" i="2"/>
  <c r="I37" i="2" s="1"/>
  <c r="L37" i="2" s="1"/>
  <c r="K36" i="2"/>
  <c r="J36" i="2"/>
  <c r="M36" i="2" s="1"/>
  <c r="H36" i="2"/>
  <c r="I36" i="2" s="1"/>
  <c r="L36" i="2" s="1"/>
  <c r="N36" i="2" s="1"/>
  <c r="K35" i="2"/>
  <c r="J35" i="2"/>
  <c r="M35" i="2" s="1"/>
  <c r="H35" i="2"/>
  <c r="I35" i="2" s="1"/>
  <c r="L35" i="2" s="1"/>
  <c r="N35" i="2" s="1"/>
  <c r="K34" i="2"/>
  <c r="J34" i="2"/>
  <c r="M34" i="2" s="1"/>
  <c r="H34" i="2"/>
  <c r="I34" i="2" s="1"/>
  <c r="L34" i="2" s="1"/>
  <c r="K33" i="2"/>
  <c r="J33" i="2"/>
  <c r="M33" i="2" s="1"/>
  <c r="H33" i="2"/>
  <c r="I33" i="2" s="1"/>
  <c r="L33" i="2" s="1"/>
  <c r="N33" i="2" s="1"/>
  <c r="K32" i="2"/>
  <c r="J32" i="2"/>
  <c r="M32" i="2" s="1"/>
  <c r="H32" i="2"/>
  <c r="I32" i="2" s="1"/>
  <c r="L32" i="2" s="1"/>
  <c r="K31" i="2"/>
  <c r="J31" i="2"/>
  <c r="M31" i="2" s="1"/>
  <c r="H31" i="2"/>
  <c r="I31" i="2" s="1"/>
  <c r="L31" i="2" s="1"/>
  <c r="K30" i="2"/>
  <c r="J30" i="2"/>
  <c r="M30" i="2" s="1"/>
  <c r="H30" i="2"/>
  <c r="I30" i="2" s="1"/>
  <c r="L30" i="2" s="1"/>
  <c r="N30" i="2" s="1"/>
  <c r="L29" i="2"/>
  <c r="K29" i="2"/>
  <c r="J29" i="2"/>
  <c r="M29" i="2" s="1"/>
  <c r="H29" i="2"/>
  <c r="I29" i="2" s="1"/>
  <c r="K28" i="2"/>
  <c r="J28" i="2"/>
  <c r="M28" i="2" s="1"/>
  <c r="H28" i="2"/>
  <c r="I28" i="2" s="1"/>
  <c r="L28" i="2" s="1"/>
  <c r="K27" i="2"/>
  <c r="J27" i="2"/>
  <c r="M27" i="2" s="1"/>
  <c r="H27" i="2"/>
  <c r="I27" i="2" s="1"/>
  <c r="L27" i="2" s="1"/>
  <c r="N27" i="2" s="1"/>
  <c r="K26" i="2"/>
  <c r="J26" i="2"/>
  <c r="M26" i="2" s="1"/>
  <c r="H26" i="2"/>
  <c r="I26" i="2" s="1"/>
  <c r="L26" i="2" s="1"/>
  <c r="N26" i="2" s="1"/>
  <c r="K25" i="2"/>
  <c r="J25" i="2"/>
  <c r="M25" i="2" s="1"/>
  <c r="H25" i="2"/>
  <c r="I25" i="2" s="1"/>
  <c r="L25" i="2" s="1"/>
  <c r="K24" i="2"/>
  <c r="J24" i="2"/>
  <c r="M24" i="2" s="1"/>
  <c r="H24" i="2"/>
  <c r="I24" i="2" s="1"/>
  <c r="L24" i="2" s="1"/>
  <c r="N24" i="2" s="1"/>
  <c r="K23" i="2"/>
  <c r="J23" i="2"/>
  <c r="M23" i="2" s="1"/>
  <c r="H23" i="2"/>
  <c r="I23" i="2" s="1"/>
  <c r="L23" i="2" s="1"/>
  <c r="N23" i="2" s="1"/>
  <c r="K22" i="2"/>
  <c r="J22" i="2"/>
  <c r="M22" i="2" s="1"/>
  <c r="H22" i="2"/>
  <c r="I22" i="2" s="1"/>
  <c r="L22" i="2" s="1"/>
  <c r="K21" i="2"/>
  <c r="J21" i="2"/>
  <c r="M21" i="2" s="1"/>
  <c r="H21" i="2"/>
  <c r="I21" i="2" s="1"/>
  <c r="L21" i="2" s="1"/>
  <c r="N21" i="2" s="1"/>
  <c r="K20" i="2"/>
  <c r="J20" i="2"/>
  <c r="M20" i="2" s="1"/>
  <c r="H20" i="2"/>
  <c r="I20" i="2" s="1"/>
  <c r="L20" i="2" s="1"/>
  <c r="N20" i="2" s="1"/>
  <c r="K19" i="2"/>
  <c r="J19" i="2"/>
  <c r="M19" i="2" s="1"/>
  <c r="H19" i="2"/>
  <c r="I19" i="2" s="1"/>
  <c r="L19" i="2" s="1"/>
  <c r="K18" i="2"/>
  <c r="J18" i="2"/>
  <c r="M18" i="2" s="1"/>
  <c r="H18" i="2"/>
  <c r="I18" i="2" s="1"/>
  <c r="L18" i="2" s="1"/>
  <c r="K17" i="2"/>
  <c r="J17" i="2"/>
  <c r="M17" i="2" s="1"/>
  <c r="H17" i="2"/>
  <c r="I17" i="2" s="1"/>
  <c r="L17" i="2" s="1"/>
  <c r="N17" i="2" s="1"/>
  <c r="K16" i="2"/>
  <c r="J16" i="2"/>
  <c r="M16" i="2" s="1"/>
  <c r="H16" i="2"/>
  <c r="I16" i="2" s="1"/>
  <c r="L16" i="2" s="1"/>
  <c r="K15" i="2"/>
  <c r="J15" i="2"/>
  <c r="M15" i="2" s="1"/>
  <c r="H15" i="2"/>
  <c r="I15" i="2" s="1"/>
  <c r="L15" i="2" s="1"/>
  <c r="K14" i="2"/>
  <c r="J14" i="2"/>
  <c r="M14" i="2" s="1"/>
  <c r="H14" i="2"/>
  <c r="I14" i="2" s="1"/>
  <c r="L14" i="2" s="1"/>
  <c r="N14" i="2" s="1"/>
  <c r="K13" i="2"/>
  <c r="J13" i="2"/>
  <c r="M13" i="2" s="1"/>
  <c r="H13" i="2"/>
  <c r="I13" i="2" s="1"/>
  <c r="L13" i="2" s="1"/>
  <c r="K12" i="2"/>
  <c r="J12" i="2"/>
  <c r="M12" i="2" s="1"/>
  <c r="H12" i="2"/>
  <c r="I12" i="2" s="1"/>
  <c r="L12" i="2" s="1"/>
  <c r="N12" i="2" s="1"/>
  <c r="M11" i="2"/>
  <c r="K11" i="2"/>
  <c r="J11" i="2"/>
  <c r="H11" i="2"/>
  <c r="I11" i="2" s="1"/>
  <c r="L11" i="2" s="1"/>
  <c r="N11" i="2" s="1"/>
  <c r="K10" i="2"/>
  <c r="J10" i="2"/>
  <c r="M10" i="2" s="1"/>
  <c r="H10" i="2"/>
  <c r="I10" i="2" s="1"/>
  <c r="L10" i="2" s="1"/>
  <c r="K9" i="2"/>
  <c r="J9" i="2"/>
  <c r="M9" i="2" s="1"/>
  <c r="H9" i="2"/>
  <c r="I9" i="2" s="1"/>
  <c r="L9" i="2" s="1"/>
  <c r="N9" i="2" s="1"/>
  <c r="L8" i="2"/>
  <c r="N8" i="2" s="1"/>
  <c r="K8" i="2"/>
  <c r="J8" i="2"/>
  <c r="M8" i="2" s="1"/>
  <c r="H8" i="2"/>
  <c r="I8" i="2" s="1"/>
  <c r="K7" i="2"/>
  <c r="J7" i="2"/>
  <c r="M7" i="2" s="1"/>
  <c r="H7" i="2"/>
  <c r="I7" i="2" s="1"/>
  <c r="L7" i="2" s="1"/>
  <c r="K6" i="2"/>
  <c r="J6" i="2"/>
  <c r="M6" i="2" s="1"/>
  <c r="H6" i="2"/>
  <c r="I6" i="2" s="1"/>
  <c r="L6" i="2" s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6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K6" i="1"/>
  <c r="L6" i="1"/>
  <c r="M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6" i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6" i="1"/>
  <c r="I6" i="1" s="1"/>
  <c r="N6" i="2" l="1"/>
  <c r="N29" i="2"/>
  <c r="N18" i="2"/>
  <c r="N32" i="2"/>
  <c r="N39" i="2"/>
  <c r="N15" i="2"/>
  <c r="N13" i="2"/>
  <c r="N34" i="2"/>
  <c r="N16" i="2"/>
  <c r="N40" i="2"/>
  <c r="N19" i="2"/>
  <c r="O12" i="2"/>
  <c r="N22" i="2"/>
  <c r="N7" i="2"/>
  <c r="N25" i="2"/>
  <c r="N10" i="2"/>
  <c r="O26" i="2" s="1"/>
  <c r="N28" i="2"/>
  <c r="N37" i="2"/>
  <c r="N31" i="2"/>
  <c r="O31" i="2" s="1"/>
  <c r="N42" i="2"/>
  <c r="O39" i="2" l="1"/>
  <c r="O27" i="2"/>
  <c r="O19" i="2"/>
  <c r="O9" i="2"/>
  <c r="O40" i="2"/>
  <c r="O24" i="2"/>
  <c r="O7" i="2"/>
  <c r="O6" i="2"/>
  <c r="O36" i="2"/>
  <c r="O32" i="2"/>
  <c r="O30" i="2"/>
  <c r="O37" i="2"/>
  <c r="O28" i="2"/>
  <c r="O18" i="2"/>
  <c r="O10" i="2"/>
  <c r="O41" i="2"/>
  <c r="O16" i="2"/>
  <c r="O34" i="2"/>
  <c r="O33" i="2"/>
  <c r="O21" i="2"/>
  <c r="O20" i="2"/>
  <c r="O11" i="2"/>
  <c r="O35" i="2"/>
  <c r="O14" i="2"/>
  <c r="O38" i="2"/>
  <c r="O17" i="2"/>
  <c r="O25" i="2"/>
  <c r="O15" i="2"/>
  <c r="O29" i="2"/>
  <c r="O8" i="2"/>
  <c r="O42" i="2"/>
  <c r="O22" i="2"/>
  <c r="O13" i="2"/>
  <c r="O23" i="2"/>
</calcChain>
</file>

<file path=xl/sharedStrings.xml><?xml version="1.0" encoding="utf-8"?>
<sst xmlns="http://schemas.openxmlformats.org/spreadsheetml/2006/main" count="231" uniqueCount="61">
  <si>
    <t>1 조</t>
    <phoneticPr fontId="1" type="noConversion"/>
  </si>
  <si>
    <t>2 조</t>
  </si>
  <si>
    <t>3 조</t>
  </si>
  <si>
    <t>4 조</t>
  </si>
  <si>
    <t>5 조</t>
  </si>
  <si>
    <t>6 조</t>
  </si>
  <si>
    <t>7 조</t>
  </si>
  <si>
    <t>8 조</t>
  </si>
  <si>
    <t>9 조</t>
  </si>
  <si>
    <t>10 조</t>
  </si>
  <si>
    <t>11 조</t>
  </si>
  <si>
    <t>12 조</t>
  </si>
  <si>
    <t>13 조</t>
  </si>
  <si>
    <t>14 조</t>
  </si>
  <si>
    <t>15 조</t>
  </si>
  <si>
    <t>16 조</t>
  </si>
  <si>
    <t>17 조</t>
  </si>
  <si>
    <t>18 조</t>
  </si>
  <si>
    <t>19 조</t>
  </si>
  <si>
    <t>20 조</t>
  </si>
  <si>
    <t>21 조</t>
  </si>
  <si>
    <t>22 조</t>
  </si>
  <si>
    <t>23 조</t>
  </si>
  <si>
    <t>24 조</t>
  </si>
  <si>
    <t>25 조</t>
  </si>
  <si>
    <t>26 조</t>
  </si>
  <si>
    <t>27 조</t>
  </si>
  <si>
    <t>28 조</t>
  </si>
  <si>
    <t>29 조</t>
  </si>
  <si>
    <t>30 조</t>
  </si>
  <si>
    <t>31 조</t>
  </si>
  <si>
    <t>32 조</t>
  </si>
  <si>
    <t>33 조</t>
  </si>
  <si>
    <t>34 조</t>
  </si>
  <si>
    <t>35 조</t>
  </si>
  <si>
    <t>36 조</t>
  </si>
  <si>
    <t>37 조</t>
  </si>
  <si>
    <t>인원</t>
    <phoneticPr fontId="1" type="noConversion"/>
  </si>
  <si>
    <t>생존자</t>
    <phoneticPr fontId="1" type="noConversion"/>
  </si>
  <si>
    <t>생존율</t>
    <phoneticPr fontId="1" type="noConversion"/>
  </si>
  <si>
    <t>획득점수</t>
    <phoneticPr fontId="1" type="noConversion"/>
  </si>
  <si>
    <t>서바이벌 퀴즈 대회</t>
    <phoneticPr fontId="1" type="noConversion"/>
  </si>
  <si>
    <t>명랑운동회</t>
    <phoneticPr fontId="1" type="noConversion"/>
  </si>
  <si>
    <t>그룹</t>
    <phoneticPr fontId="1" type="noConversion"/>
  </si>
  <si>
    <t>A</t>
    <phoneticPr fontId="1" type="noConversion"/>
  </si>
  <si>
    <t>B</t>
    <phoneticPr fontId="1" type="noConversion"/>
  </si>
  <si>
    <t>조별</t>
    <phoneticPr fontId="1" type="noConversion"/>
  </si>
  <si>
    <t>조담당</t>
    <phoneticPr fontId="1" type="noConversion"/>
  </si>
  <si>
    <t>목자님</t>
    <phoneticPr fontId="1" type="noConversion"/>
  </si>
  <si>
    <t>명랑</t>
    <phoneticPr fontId="1" type="noConversion"/>
  </si>
  <si>
    <t>조</t>
    <phoneticPr fontId="1" type="noConversion"/>
  </si>
  <si>
    <t>시티투어미션</t>
    <phoneticPr fontId="1" type="noConversion"/>
  </si>
  <si>
    <t>서바이벌퀴즈</t>
    <phoneticPr fontId="1" type="noConversion"/>
  </si>
  <si>
    <t>최종점수</t>
    <phoneticPr fontId="1" type="noConversion"/>
  </si>
  <si>
    <t>비율반영 환산 점수</t>
    <phoneticPr fontId="1" type="noConversion"/>
  </si>
  <si>
    <t>합계</t>
    <phoneticPr fontId="1" type="noConversion"/>
  </si>
  <si>
    <t>조별순위</t>
    <phoneticPr fontId="1" type="noConversion"/>
  </si>
  <si>
    <t xml:space="preserve">                      : 게임 결과 입력</t>
    <phoneticPr fontId="1" type="noConversion"/>
  </si>
  <si>
    <t xml:space="preserve">                 : 사전입력 영역</t>
    <phoneticPr fontId="1" type="noConversion"/>
  </si>
  <si>
    <t>조별 종합점수 현황표 (수식 포함)</t>
    <phoneticPr fontId="1" type="noConversion"/>
  </si>
  <si>
    <t>조별 종합점수 현황표 (양식)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</si>
</sst>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b/>
      <sz val="12"/>
      <color theme="1"/>
      <name val="굴림"/>
      <family val="3"/>
      <charset val="129"/>
    </font>
    <font>
      <sz val="10"/>
      <name val="굴림"/>
      <family val="3"/>
      <charset val="129"/>
    </font>
    <font>
      <sz val="8"/>
      <color rgb="FF0070C0"/>
      <name val="굴림"/>
      <family val="3"/>
      <charset val="129"/>
    </font>
    <font>
      <sz val="8"/>
      <color theme="1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Continuous" vertical="center"/>
    </xf>
    <xf numFmtId="0" fontId="3" fillId="4" borderId="4" xfId="0" applyFont="1" applyFill="1" applyBorder="1" applyAlignment="1">
      <alignment horizontal="centerContinuous" vertical="center"/>
    </xf>
    <xf numFmtId="0" fontId="3" fillId="4" borderId="5" xfId="0" applyFont="1" applyFill="1" applyBorder="1" applyAlignment="1">
      <alignment horizontal="centerContinuous" vertical="center"/>
    </xf>
    <xf numFmtId="0" fontId="3" fillId="4" borderId="6" xfId="0" applyFont="1" applyFill="1" applyBorder="1" applyAlignment="1">
      <alignment horizontal="centerContinuous" vertical="center"/>
    </xf>
    <xf numFmtId="0" fontId="3" fillId="6" borderId="15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3" fillId="5" borderId="18" xfId="0" applyFont="1" applyFill="1" applyBorder="1" applyAlignment="1">
      <alignment horizontal="centerContinuous" vertical="center"/>
    </xf>
    <xf numFmtId="0" fontId="3" fillId="4" borderId="19" xfId="0" applyFont="1" applyFill="1" applyBorder="1">
      <alignment vertical="center"/>
    </xf>
    <xf numFmtId="0" fontId="3" fillId="3" borderId="20" xfId="0" applyFont="1" applyFill="1" applyBorder="1">
      <alignment vertical="center"/>
    </xf>
    <xf numFmtId="9" fontId="7" fillId="0" borderId="0" xfId="0" applyNumberFormat="1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2" fillId="8" borderId="11" xfId="0" applyFont="1" applyFill="1" applyBorder="1">
      <alignment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8" xfId="0" applyFont="1" applyFill="1" applyBorder="1">
      <alignment vertical="center"/>
    </xf>
    <xf numFmtId="0" fontId="2" fillId="8" borderId="8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8" borderId="5" xfId="0" applyFont="1" applyFill="1" applyBorder="1">
      <alignment vertical="center"/>
    </xf>
    <xf numFmtId="0" fontId="2" fillId="8" borderId="5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8" borderId="13" xfId="0" applyFont="1" applyFill="1" applyBorder="1">
      <alignment vertical="center"/>
    </xf>
    <xf numFmtId="0" fontId="2" fillId="8" borderId="13" xfId="0" applyFont="1" applyFill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Fill="1">
      <alignment vertical="center"/>
    </xf>
    <xf numFmtId="0" fontId="4" fillId="6" borderId="25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9" fontId="2" fillId="0" borderId="28" xfId="0" applyNumberFormat="1" applyFont="1" applyBorder="1" applyAlignment="1">
      <alignment horizontal="center" vertical="center"/>
    </xf>
    <xf numFmtId="9" fontId="2" fillId="0" borderId="29" xfId="0" applyNumberFormat="1" applyFont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8" borderId="37" xfId="0" applyFont="1" applyFill="1" applyBorder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9" fontId="2" fillId="0" borderId="39" xfId="0" applyNumberFormat="1" applyFont="1" applyBorder="1" applyAlignment="1">
      <alignment horizontal="center" vertical="center"/>
    </xf>
    <xf numFmtId="9" fontId="2" fillId="0" borderId="40" xfId="0" applyNumberFormat="1" applyFont="1" applyBorder="1" applyAlignment="1">
      <alignment horizontal="center" vertical="center"/>
    </xf>
    <xf numFmtId="0" fontId="2" fillId="7" borderId="41" xfId="0" applyFont="1" applyFill="1" applyBorder="1" applyAlignment="1">
      <alignment horizontal="center" vertical="center"/>
    </xf>
    <xf numFmtId="0" fontId="2" fillId="7" borderId="42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2</xdr:row>
      <xdr:rowOff>19050</xdr:rowOff>
    </xdr:from>
    <xdr:to>
      <xdr:col>3</xdr:col>
      <xdr:colOff>0</xdr:colOff>
      <xdr:row>2</xdr:row>
      <xdr:rowOff>133350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BEEA7B1-AD0D-A9A5-522E-14D4D6202772}"/>
            </a:ext>
          </a:extLst>
        </xdr:cNvPr>
        <xdr:cNvSpPr/>
      </xdr:nvSpPr>
      <xdr:spPr>
        <a:xfrm>
          <a:off x="895350" y="323850"/>
          <a:ext cx="390525" cy="114300"/>
        </a:xfrm>
        <a:prstGeom prst="rect">
          <a:avLst/>
        </a:prstGeom>
        <a:solidFill>
          <a:srgbClr val="CC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409575</xdr:colOff>
      <xdr:row>2</xdr:row>
      <xdr:rowOff>19050</xdr:rowOff>
    </xdr:from>
    <xdr:to>
      <xdr:col>5</xdr:col>
      <xdr:colOff>800100</xdr:colOff>
      <xdr:row>2</xdr:row>
      <xdr:rowOff>133350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FA5E3B15-24C8-827B-6E24-B2066454DBC2}"/>
            </a:ext>
          </a:extLst>
        </xdr:cNvPr>
        <xdr:cNvSpPr/>
      </xdr:nvSpPr>
      <xdr:spPr>
        <a:xfrm>
          <a:off x="2600325" y="323850"/>
          <a:ext cx="390525" cy="1143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2</xdr:row>
      <xdr:rowOff>19050</xdr:rowOff>
    </xdr:from>
    <xdr:to>
      <xdr:col>3</xdr:col>
      <xdr:colOff>0</xdr:colOff>
      <xdr:row>2</xdr:row>
      <xdr:rowOff>133350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A225DE-9749-4C1A-BC7B-9E3F0FC74048}"/>
            </a:ext>
          </a:extLst>
        </xdr:cNvPr>
        <xdr:cNvSpPr/>
      </xdr:nvSpPr>
      <xdr:spPr>
        <a:xfrm>
          <a:off x="895350" y="323850"/>
          <a:ext cx="390525" cy="114300"/>
        </a:xfrm>
        <a:prstGeom prst="rect">
          <a:avLst/>
        </a:prstGeom>
        <a:solidFill>
          <a:srgbClr val="CC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409575</xdr:colOff>
      <xdr:row>2</xdr:row>
      <xdr:rowOff>19050</xdr:rowOff>
    </xdr:from>
    <xdr:to>
      <xdr:col>5</xdr:col>
      <xdr:colOff>800100</xdr:colOff>
      <xdr:row>2</xdr:row>
      <xdr:rowOff>133350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4B39D02-7846-4510-9D38-C3EF4D67DA28}"/>
            </a:ext>
          </a:extLst>
        </xdr:cNvPr>
        <xdr:cNvSpPr/>
      </xdr:nvSpPr>
      <xdr:spPr>
        <a:xfrm>
          <a:off x="2600325" y="323850"/>
          <a:ext cx="390525" cy="1143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2</xdr:row>
      <xdr:rowOff>19050</xdr:rowOff>
    </xdr:from>
    <xdr:to>
      <xdr:col>3</xdr:col>
      <xdr:colOff>0</xdr:colOff>
      <xdr:row>2</xdr:row>
      <xdr:rowOff>133350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AD120CB-97E8-417A-9B36-846B391EE081}"/>
            </a:ext>
          </a:extLst>
        </xdr:cNvPr>
        <xdr:cNvSpPr/>
      </xdr:nvSpPr>
      <xdr:spPr>
        <a:xfrm>
          <a:off x="895350" y="323850"/>
          <a:ext cx="390525" cy="114300"/>
        </a:xfrm>
        <a:prstGeom prst="rect">
          <a:avLst/>
        </a:prstGeom>
        <a:solidFill>
          <a:srgbClr val="CC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409575</xdr:colOff>
      <xdr:row>2</xdr:row>
      <xdr:rowOff>19050</xdr:rowOff>
    </xdr:from>
    <xdr:to>
      <xdr:col>5</xdr:col>
      <xdr:colOff>800100</xdr:colOff>
      <xdr:row>2</xdr:row>
      <xdr:rowOff>133350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5886745-BE75-4B46-8AF4-2826129AD308}"/>
            </a:ext>
          </a:extLst>
        </xdr:cNvPr>
        <xdr:cNvSpPr/>
      </xdr:nvSpPr>
      <xdr:spPr>
        <a:xfrm>
          <a:off x="2600325" y="323850"/>
          <a:ext cx="390525" cy="1143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469D-BC32-4B86-A819-B5F6703B8F30}">
  <sheetPr>
    <tabColor theme="4" tint="0.79998168889431442"/>
  </sheetPr>
  <dimension ref="B1:O50"/>
  <sheetViews>
    <sheetView showGridLines="0" tabSelected="1" workbookViewId="0"/>
  </sheetViews>
  <sheetFormatPr defaultRowHeight="12" x14ac:dyDescent="0.3"/>
  <cols>
    <col min="1" max="1" width="2.625" style="2" customWidth="1"/>
    <col min="2" max="2" width="5.625" style="1" customWidth="1"/>
    <col min="3" max="3" width="8.625" style="2" customWidth="1"/>
    <col min="4" max="4" width="5.625" style="2" customWidth="1"/>
    <col min="5" max="5" width="6.25" style="2" customWidth="1"/>
    <col min="6" max="6" width="10.625" style="2" customWidth="1"/>
    <col min="7" max="8" width="6.625" style="1" customWidth="1"/>
    <col min="9" max="9" width="8.625" style="2" customWidth="1"/>
    <col min="10" max="15" width="10.625" style="2" customWidth="1"/>
    <col min="16" max="18" width="2.625" style="2" customWidth="1"/>
    <col min="19" max="16384" width="9" style="2"/>
  </cols>
  <sheetData>
    <row r="1" spans="2:15" ht="12.75" customHeight="1" thickBot="1" x14ac:dyDescent="0.35">
      <c r="B1" s="56" t="s">
        <v>60</v>
      </c>
      <c r="C1" s="56"/>
      <c r="D1" s="56"/>
      <c r="E1" s="56"/>
      <c r="F1" s="56"/>
      <c r="G1" s="2"/>
      <c r="I1" s="58" t="s">
        <v>44</v>
      </c>
      <c r="J1" s="59"/>
    </row>
    <row r="2" spans="2:15" s="17" customFormat="1" ht="12" customHeight="1" thickBot="1" x14ac:dyDescent="0.35">
      <c r="B2" s="56"/>
      <c r="C2" s="56"/>
      <c r="D2" s="56"/>
      <c r="E2" s="56"/>
      <c r="F2" s="56"/>
      <c r="H2" s="18"/>
      <c r="I2" s="58" t="s">
        <v>45</v>
      </c>
      <c r="J2" s="59"/>
    </row>
    <row r="3" spans="2:15" x14ac:dyDescent="0.3">
      <c r="C3" s="57" t="s">
        <v>58</v>
      </c>
      <c r="F3" s="57" t="s">
        <v>57</v>
      </c>
      <c r="K3" s="35">
        <v>0.2</v>
      </c>
      <c r="L3" s="35">
        <v>0.3</v>
      </c>
      <c r="M3" s="35">
        <v>0.5</v>
      </c>
    </row>
    <row r="4" spans="2:15" ht="15.95" customHeight="1" x14ac:dyDescent="0.3">
      <c r="B4" s="3" t="s">
        <v>50</v>
      </c>
      <c r="C4" s="4" t="s">
        <v>47</v>
      </c>
      <c r="D4" s="4" t="s">
        <v>46</v>
      </c>
      <c r="E4" s="27" t="s">
        <v>49</v>
      </c>
      <c r="F4" s="21" t="s">
        <v>51</v>
      </c>
      <c r="G4" s="22" t="s">
        <v>41</v>
      </c>
      <c r="H4" s="23"/>
      <c r="I4" s="24"/>
      <c r="J4" s="25" t="s">
        <v>42</v>
      </c>
      <c r="K4" s="29" t="s">
        <v>54</v>
      </c>
      <c r="L4" s="30"/>
      <c r="M4" s="31"/>
      <c r="N4" s="37" t="s">
        <v>53</v>
      </c>
      <c r="O4" s="37" t="s">
        <v>56</v>
      </c>
    </row>
    <row r="5" spans="2:15" ht="15.95" customHeight="1" thickBot="1" x14ac:dyDescent="0.35">
      <c r="B5" s="5"/>
      <c r="C5" s="6" t="s">
        <v>48</v>
      </c>
      <c r="D5" s="6" t="s">
        <v>37</v>
      </c>
      <c r="E5" s="28" t="s">
        <v>43</v>
      </c>
      <c r="F5" s="64" t="s">
        <v>40</v>
      </c>
      <c r="G5" s="65" t="s">
        <v>38</v>
      </c>
      <c r="H5" s="26" t="s">
        <v>39</v>
      </c>
      <c r="I5" s="20" t="s">
        <v>40</v>
      </c>
      <c r="J5" s="19" t="s">
        <v>40</v>
      </c>
      <c r="K5" s="32" t="s">
        <v>51</v>
      </c>
      <c r="L5" s="33" t="s">
        <v>52</v>
      </c>
      <c r="M5" s="34" t="s">
        <v>42</v>
      </c>
      <c r="N5" s="38" t="s">
        <v>55</v>
      </c>
      <c r="O5" s="38"/>
    </row>
    <row r="6" spans="2:15" x14ac:dyDescent="0.3">
      <c r="B6" s="43" t="s">
        <v>0</v>
      </c>
      <c r="C6" s="44"/>
      <c r="D6" s="45"/>
      <c r="E6" s="72"/>
      <c r="F6" s="66"/>
      <c r="G6" s="67"/>
      <c r="H6" s="74"/>
      <c r="I6" s="46"/>
      <c r="J6" s="36"/>
      <c r="K6" s="43"/>
      <c r="L6" s="47"/>
      <c r="M6" s="48"/>
      <c r="N6" s="36"/>
      <c r="O6" s="36"/>
    </row>
    <row r="7" spans="2:15" x14ac:dyDescent="0.3">
      <c r="B7" s="9" t="s">
        <v>1</v>
      </c>
      <c r="C7" s="39"/>
      <c r="D7" s="40"/>
      <c r="E7" s="60"/>
      <c r="F7" s="68"/>
      <c r="G7" s="69"/>
      <c r="H7" s="62"/>
      <c r="I7" s="12"/>
      <c r="J7" s="13"/>
      <c r="K7" s="9"/>
      <c r="L7" s="10"/>
      <c r="M7" s="11"/>
      <c r="N7" s="13"/>
      <c r="O7" s="13"/>
    </row>
    <row r="8" spans="2:15" x14ac:dyDescent="0.3">
      <c r="B8" s="9" t="s">
        <v>2</v>
      </c>
      <c r="C8" s="39"/>
      <c r="D8" s="40"/>
      <c r="E8" s="60"/>
      <c r="F8" s="68"/>
      <c r="G8" s="69"/>
      <c r="H8" s="62"/>
      <c r="I8" s="12"/>
      <c r="J8" s="13"/>
      <c r="K8" s="9"/>
      <c r="L8" s="10"/>
      <c r="M8" s="11"/>
      <c r="N8" s="13"/>
      <c r="O8" s="13"/>
    </row>
    <row r="9" spans="2:15" x14ac:dyDescent="0.3">
      <c r="B9" s="9" t="s">
        <v>3</v>
      </c>
      <c r="C9" s="39"/>
      <c r="D9" s="40"/>
      <c r="E9" s="60"/>
      <c r="F9" s="68"/>
      <c r="G9" s="69"/>
      <c r="H9" s="62"/>
      <c r="I9" s="12"/>
      <c r="J9" s="13"/>
      <c r="K9" s="9"/>
      <c r="L9" s="10"/>
      <c r="M9" s="11"/>
      <c r="N9" s="13"/>
      <c r="O9" s="13"/>
    </row>
    <row r="10" spans="2:15" x14ac:dyDescent="0.3">
      <c r="B10" s="49" t="s">
        <v>4</v>
      </c>
      <c r="C10" s="50"/>
      <c r="D10" s="51"/>
      <c r="E10" s="73"/>
      <c r="F10" s="76"/>
      <c r="G10" s="77"/>
      <c r="H10" s="75"/>
      <c r="I10" s="52"/>
      <c r="J10" s="53"/>
      <c r="K10" s="49"/>
      <c r="L10" s="54"/>
      <c r="M10" s="55"/>
      <c r="N10" s="53"/>
      <c r="O10" s="53"/>
    </row>
    <row r="11" spans="2:15" x14ac:dyDescent="0.3">
      <c r="B11" s="9" t="s">
        <v>5</v>
      </c>
      <c r="C11" s="39"/>
      <c r="D11" s="40"/>
      <c r="E11" s="60"/>
      <c r="F11" s="68"/>
      <c r="G11" s="69"/>
      <c r="H11" s="62"/>
      <c r="I11" s="12"/>
      <c r="J11" s="13"/>
      <c r="K11" s="9"/>
      <c r="L11" s="10"/>
      <c r="M11" s="11"/>
      <c r="N11" s="13"/>
      <c r="O11" s="13"/>
    </row>
    <row r="12" spans="2:15" x14ac:dyDescent="0.3">
      <c r="B12" s="9" t="s">
        <v>6</v>
      </c>
      <c r="C12" s="39"/>
      <c r="D12" s="40"/>
      <c r="E12" s="60"/>
      <c r="F12" s="68"/>
      <c r="G12" s="69"/>
      <c r="H12" s="62"/>
      <c r="I12" s="12"/>
      <c r="J12" s="13"/>
      <c r="K12" s="9"/>
      <c r="L12" s="10"/>
      <c r="M12" s="11"/>
      <c r="N12" s="13"/>
      <c r="O12" s="13"/>
    </row>
    <row r="13" spans="2:15" x14ac:dyDescent="0.3">
      <c r="B13" s="9" t="s">
        <v>7</v>
      </c>
      <c r="C13" s="39"/>
      <c r="D13" s="40"/>
      <c r="E13" s="60"/>
      <c r="F13" s="68"/>
      <c r="G13" s="69"/>
      <c r="H13" s="62"/>
      <c r="I13" s="12"/>
      <c r="J13" s="13"/>
      <c r="K13" s="9"/>
      <c r="L13" s="10"/>
      <c r="M13" s="11"/>
      <c r="N13" s="13"/>
      <c r="O13" s="13"/>
    </row>
    <row r="14" spans="2:15" x14ac:dyDescent="0.3">
      <c r="B14" s="9" t="s">
        <v>8</v>
      </c>
      <c r="C14" s="39"/>
      <c r="D14" s="40"/>
      <c r="E14" s="60"/>
      <c r="F14" s="68"/>
      <c r="G14" s="69"/>
      <c r="H14" s="62"/>
      <c r="I14" s="12"/>
      <c r="J14" s="13"/>
      <c r="K14" s="9"/>
      <c r="L14" s="10"/>
      <c r="M14" s="11"/>
      <c r="N14" s="13"/>
      <c r="O14" s="13"/>
    </row>
    <row r="15" spans="2:15" x14ac:dyDescent="0.3">
      <c r="B15" s="49" t="s">
        <v>9</v>
      </c>
      <c r="C15" s="50"/>
      <c r="D15" s="51"/>
      <c r="E15" s="73"/>
      <c r="F15" s="76"/>
      <c r="G15" s="77"/>
      <c r="H15" s="75"/>
      <c r="I15" s="52"/>
      <c r="J15" s="53"/>
      <c r="K15" s="49"/>
      <c r="L15" s="54"/>
      <c r="M15" s="55"/>
      <c r="N15" s="53"/>
      <c r="O15" s="53"/>
    </row>
    <row r="16" spans="2:15" x14ac:dyDescent="0.3">
      <c r="B16" s="9" t="s">
        <v>10</v>
      </c>
      <c r="C16" s="39"/>
      <c r="D16" s="40"/>
      <c r="E16" s="60"/>
      <c r="F16" s="68"/>
      <c r="G16" s="69"/>
      <c r="H16" s="62"/>
      <c r="I16" s="12"/>
      <c r="J16" s="13"/>
      <c r="K16" s="9"/>
      <c r="L16" s="10"/>
      <c r="M16" s="11"/>
      <c r="N16" s="13"/>
      <c r="O16" s="13"/>
    </row>
    <row r="17" spans="2:15" x14ac:dyDescent="0.3">
      <c r="B17" s="9" t="s">
        <v>11</v>
      </c>
      <c r="C17" s="39"/>
      <c r="D17" s="40"/>
      <c r="E17" s="60"/>
      <c r="F17" s="68"/>
      <c r="G17" s="69"/>
      <c r="H17" s="62"/>
      <c r="I17" s="12"/>
      <c r="J17" s="13"/>
      <c r="K17" s="9"/>
      <c r="L17" s="10"/>
      <c r="M17" s="11"/>
      <c r="N17" s="13"/>
      <c r="O17" s="13"/>
    </row>
    <row r="18" spans="2:15" x14ac:dyDescent="0.3">
      <c r="B18" s="9" t="s">
        <v>12</v>
      </c>
      <c r="C18" s="39"/>
      <c r="D18" s="40"/>
      <c r="E18" s="60"/>
      <c r="F18" s="68"/>
      <c r="G18" s="69"/>
      <c r="H18" s="62"/>
      <c r="I18" s="12"/>
      <c r="J18" s="13"/>
      <c r="K18" s="9"/>
      <c r="L18" s="10"/>
      <c r="M18" s="11"/>
      <c r="N18" s="13"/>
      <c r="O18" s="13"/>
    </row>
    <row r="19" spans="2:15" x14ac:dyDescent="0.3">
      <c r="B19" s="9" t="s">
        <v>13</v>
      </c>
      <c r="C19" s="39"/>
      <c r="D19" s="40"/>
      <c r="E19" s="60"/>
      <c r="F19" s="68"/>
      <c r="G19" s="69"/>
      <c r="H19" s="62"/>
      <c r="I19" s="12"/>
      <c r="J19" s="13"/>
      <c r="K19" s="9"/>
      <c r="L19" s="10"/>
      <c r="M19" s="11"/>
      <c r="N19" s="13"/>
      <c r="O19" s="13"/>
    </row>
    <row r="20" spans="2:15" x14ac:dyDescent="0.3">
      <c r="B20" s="49" t="s">
        <v>14</v>
      </c>
      <c r="C20" s="50"/>
      <c r="D20" s="51"/>
      <c r="E20" s="73"/>
      <c r="F20" s="76"/>
      <c r="G20" s="77"/>
      <c r="H20" s="75"/>
      <c r="I20" s="52"/>
      <c r="J20" s="53"/>
      <c r="K20" s="49"/>
      <c r="L20" s="54"/>
      <c r="M20" s="55"/>
      <c r="N20" s="53"/>
      <c r="O20" s="53"/>
    </row>
    <row r="21" spans="2:15" x14ac:dyDescent="0.3">
      <c r="B21" s="9" t="s">
        <v>15</v>
      </c>
      <c r="C21" s="39"/>
      <c r="D21" s="40"/>
      <c r="E21" s="60"/>
      <c r="F21" s="68"/>
      <c r="G21" s="69"/>
      <c r="H21" s="62"/>
      <c r="I21" s="12"/>
      <c r="J21" s="13"/>
      <c r="K21" s="9"/>
      <c r="L21" s="10"/>
      <c r="M21" s="11"/>
      <c r="N21" s="13"/>
      <c r="O21" s="13"/>
    </row>
    <row r="22" spans="2:15" x14ac:dyDescent="0.3">
      <c r="B22" s="9" t="s">
        <v>16</v>
      </c>
      <c r="C22" s="39"/>
      <c r="D22" s="40"/>
      <c r="E22" s="60"/>
      <c r="F22" s="68"/>
      <c r="G22" s="69"/>
      <c r="H22" s="62"/>
      <c r="I22" s="12"/>
      <c r="J22" s="13"/>
      <c r="K22" s="9"/>
      <c r="L22" s="10"/>
      <c r="M22" s="11"/>
      <c r="N22" s="13"/>
      <c r="O22" s="13"/>
    </row>
    <row r="23" spans="2:15" x14ac:dyDescent="0.3">
      <c r="B23" s="9" t="s">
        <v>17</v>
      </c>
      <c r="C23" s="39"/>
      <c r="D23" s="40"/>
      <c r="E23" s="60"/>
      <c r="F23" s="68"/>
      <c r="G23" s="69"/>
      <c r="H23" s="62"/>
      <c r="I23" s="12"/>
      <c r="J23" s="13"/>
      <c r="K23" s="9"/>
      <c r="L23" s="10"/>
      <c r="M23" s="11"/>
      <c r="N23" s="13"/>
      <c r="O23" s="13"/>
    </row>
    <row r="24" spans="2:15" x14ac:dyDescent="0.3">
      <c r="B24" s="9" t="s">
        <v>18</v>
      </c>
      <c r="C24" s="39"/>
      <c r="D24" s="40"/>
      <c r="E24" s="60"/>
      <c r="F24" s="68"/>
      <c r="G24" s="69"/>
      <c r="H24" s="62"/>
      <c r="I24" s="12"/>
      <c r="J24" s="13"/>
      <c r="K24" s="9"/>
      <c r="L24" s="10"/>
      <c r="M24" s="11"/>
      <c r="N24" s="13"/>
      <c r="O24" s="13"/>
    </row>
    <row r="25" spans="2:15" x14ac:dyDescent="0.3">
      <c r="B25" s="49" t="s">
        <v>19</v>
      </c>
      <c r="C25" s="50"/>
      <c r="D25" s="51"/>
      <c r="E25" s="73"/>
      <c r="F25" s="76"/>
      <c r="G25" s="77"/>
      <c r="H25" s="75"/>
      <c r="I25" s="52"/>
      <c r="J25" s="53"/>
      <c r="K25" s="49"/>
      <c r="L25" s="54"/>
      <c r="M25" s="55"/>
      <c r="N25" s="53"/>
      <c r="O25" s="53"/>
    </row>
    <row r="26" spans="2:15" x14ac:dyDescent="0.3">
      <c r="B26" s="9" t="s">
        <v>20</v>
      </c>
      <c r="C26" s="39"/>
      <c r="D26" s="40"/>
      <c r="E26" s="60"/>
      <c r="F26" s="68"/>
      <c r="G26" s="69"/>
      <c r="H26" s="62"/>
      <c r="I26" s="12"/>
      <c r="J26" s="13"/>
      <c r="K26" s="9"/>
      <c r="L26" s="10"/>
      <c r="M26" s="11"/>
      <c r="N26" s="13"/>
      <c r="O26" s="13"/>
    </row>
    <row r="27" spans="2:15" x14ac:dyDescent="0.3">
      <c r="B27" s="9" t="s">
        <v>21</v>
      </c>
      <c r="C27" s="39"/>
      <c r="D27" s="40"/>
      <c r="E27" s="60"/>
      <c r="F27" s="68"/>
      <c r="G27" s="69"/>
      <c r="H27" s="62"/>
      <c r="I27" s="12"/>
      <c r="J27" s="13"/>
      <c r="K27" s="9"/>
      <c r="L27" s="10"/>
      <c r="M27" s="11"/>
      <c r="N27" s="13"/>
      <c r="O27" s="13"/>
    </row>
    <row r="28" spans="2:15" x14ac:dyDescent="0.3">
      <c r="B28" s="9" t="s">
        <v>22</v>
      </c>
      <c r="C28" s="39"/>
      <c r="D28" s="40"/>
      <c r="E28" s="60"/>
      <c r="F28" s="68"/>
      <c r="G28" s="69"/>
      <c r="H28" s="62"/>
      <c r="I28" s="12"/>
      <c r="J28" s="13"/>
      <c r="K28" s="9"/>
      <c r="L28" s="10"/>
      <c r="M28" s="11"/>
      <c r="N28" s="13"/>
      <c r="O28" s="13"/>
    </row>
    <row r="29" spans="2:15" x14ac:dyDescent="0.3">
      <c r="B29" s="9" t="s">
        <v>23</v>
      </c>
      <c r="C29" s="39"/>
      <c r="D29" s="40"/>
      <c r="E29" s="60"/>
      <c r="F29" s="68"/>
      <c r="G29" s="69"/>
      <c r="H29" s="62"/>
      <c r="I29" s="12"/>
      <c r="J29" s="13"/>
      <c r="K29" s="9"/>
      <c r="L29" s="10"/>
      <c r="M29" s="11"/>
      <c r="N29" s="13"/>
      <c r="O29" s="13"/>
    </row>
    <row r="30" spans="2:15" x14ac:dyDescent="0.3">
      <c r="B30" s="49" t="s">
        <v>24</v>
      </c>
      <c r="C30" s="50"/>
      <c r="D30" s="51"/>
      <c r="E30" s="73"/>
      <c r="F30" s="76"/>
      <c r="G30" s="77"/>
      <c r="H30" s="75"/>
      <c r="I30" s="52"/>
      <c r="J30" s="53"/>
      <c r="K30" s="49"/>
      <c r="L30" s="54"/>
      <c r="M30" s="55"/>
      <c r="N30" s="53"/>
      <c r="O30" s="53"/>
    </row>
    <row r="31" spans="2:15" x14ac:dyDescent="0.3">
      <c r="B31" s="9" t="s">
        <v>25</v>
      </c>
      <c r="C31" s="39"/>
      <c r="D31" s="40"/>
      <c r="E31" s="60"/>
      <c r="F31" s="68"/>
      <c r="G31" s="69"/>
      <c r="H31" s="62"/>
      <c r="I31" s="12"/>
      <c r="J31" s="13"/>
      <c r="K31" s="9"/>
      <c r="L31" s="10"/>
      <c r="M31" s="11"/>
      <c r="N31" s="13"/>
      <c r="O31" s="13"/>
    </row>
    <row r="32" spans="2:15" x14ac:dyDescent="0.3">
      <c r="B32" s="9" t="s">
        <v>26</v>
      </c>
      <c r="C32" s="39"/>
      <c r="D32" s="40"/>
      <c r="E32" s="60"/>
      <c r="F32" s="68"/>
      <c r="G32" s="69"/>
      <c r="H32" s="62"/>
      <c r="I32" s="12"/>
      <c r="J32" s="13"/>
      <c r="K32" s="9"/>
      <c r="L32" s="10"/>
      <c r="M32" s="11"/>
      <c r="N32" s="13"/>
      <c r="O32" s="13"/>
    </row>
    <row r="33" spans="2:15" x14ac:dyDescent="0.3">
      <c r="B33" s="9" t="s">
        <v>27</v>
      </c>
      <c r="C33" s="39"/>
      <c r="D33" s="40"/>
      <c r="E33" s="60"/>
      <c r="F33" s="68"/>
      <c r="G33" s="69"/>
      <c r="H33" s="62"/>
      <c r="I33" s="12"/>
      <c r="J33" s="13"/>
      <c r="K33" s="9"/>
      <c r="L33" s="10"/>
      <c r="M33" s="11"/>
      <c r="N33" s="13"/>
      <c r="O33" s="13"/>
    </row>
    <row r="34" spans="2:15" x14ac:dyDescent="0.3">
      <c r="B34" s="9" t="s">
        <v>28</v>
      </c>
      <c r="C34" s="39"/>
      <c r="D34" s="40"/>
      <c r="E34" s="60"/>
      <c r="F34" s="68"/>
      <c r="G34" s="69"/>
      <c r="H34" s="62"/>
      <c r="I34" s="12"/>
      <c r="J34" s="13"/>
      <c r="K34" s="9"/>
      <c r="L34" s="10"/>
      <c r="M34" s="11"/>
      <c r="N34" s="13"/>
      <c r="O34" s="13"/>
    </row>
    <row r="35" spans="2:15" x14ac:dyDescent="0.3">
      <c r="B35" s="49" t="s">
        <v>29</v>
      </c>
      <c r="C35" s="50"/>
      <c r="D35" s="51"/>
      <c r="E35" s="73"/>
      <c r="F35" s="76"/>
      <c r="G35" s="77"/>
      <c r="H35" s="75"/>
      <c r="I35" s="52"/>
      <c r="J35" s="53"/>
      <c r="K35" s="49"/>
      <c r="L35" s="54"/>
      <c r="M35" s="55"/>
      <c r="N35" s="53"/>
      <c r="O35" s="53"/>
    </row>
    <row r="36" spans="2:15" x14ac:dyDescent="0.3">
      <c r="B36" s="9" t="s">
        <v>30</v>
      </c>
      <c r="C36" s="39"/>
      <c r="D36" s="40"/>
      <c r="E36" s="60"/>
      <c r="F36" s="68"/>
      <c r="G36" s="69"/>
      <c r="H36" s="62"/>
      <c r="I36" s="12"/>
      <c r="J36" s="13"/>
      <c r="K36" s="9"/>
      <c r="L36" s="10"/>
      <c r="M36" s="11"/>
      <c r="N36" s="13"/>
      <c r="O36" s="13"/>
    </row>
    <row r="37" spans="2:15" x14ac:dyDescent="0.3">
      <c r="B37" s="9" t="s">
        <v>31</v>
      </c>
      <c r="C37" s="39"/>
      <c r="D37" s="40"/>
      <c r="E37" s="60"/>
      <c r="F37" s="68"/>
      <c r="G37" s="69"/>
      <c r="H37" s="62"/>
      <c r="I37" s="12"/>
      <c r="J37" s="13"/>
      <c r="K37" s="9"/>
      <c r="L37" s="10"/>
      <c r="M37" s="11"/>
      <c r="N37" s="13"/>
      <c r="O37" s="13"/>
    </row>
    <row r="38" spans="2:15" x14ac:dyDescent="0.3">
      <c r="B38" s="9" t="s">
        <v>32</v>
      </c>
      <c r="C38" s="39"/>
      <c r="D38" s="40"/>
      <c r="E38" s="60"/>
      <c r="F38" s="68"/>
      <c r="G38" s="69"/>
      <c r="H38" s="62"/>
      <c r="I38" s="12"/>
      <c r="J38" s="13"/>
      <c r="K38" s="9"/>
      <c r="L38" s="10"/>
      <c r="M38" s="11"/>
      <c r="N38" s="13"/>
      <c r="O38" s="13"/>
    </row>
    <row r="39" spans="2:15" x14ac:dyDescent="0.3">
      <c r="B39" s="9" t="s">
        <v>33</v>
      </c>
      <c r="C39" s="39"/>
      <c r="D39" s="40"/>
      <c r="E39" s="60"/>
      <c r="F39" s="68"/>
      <c r="G39" s="69"/>
      <c r="H39" s="62"/>
      <c r="I39" s="12"/>
      <c r="J39" s="13"/>
      <c r="K39" s="9"/>
      <c r="L39" s="10"/>
      <c r="M39" s="11"/>
      <c r="N39" s="13"/>
      <c r="O39" s="13"/>
    </row>
    <row r="40" spans="2:15" x14ac:dyDescent="0.3">
      <c r="B40" s="49" t="s">
        <v>34</v>
      </c>
      <c r="C40" s="50"/>
      <c r="D40" s="51"/>
      <c r="E40" s="73"/>
      <c r="F40" s="76"/>
      <c r="G40" s="77"/>
      <c r="H40" s="75"/>
      <c r="I40" s="52"/>
      <c r="J40" s="53"/>
      <c r="K40" s="49"/>
      <c r="L40" s="54"/>
      <c r="M40" s="55"/>
      <c r="N40" s="53"/>
      <c r="O40" s="53"/>
    </row>
    <row r="41" spans="2:15" x14ac:dyDescent="0.3">
      <c r="B41" s="9" t="s">
        <v>35</v>
      </c>
      <c r="C41" s="39"/>
      <c r="D41" s="40"/>
      <c r="E41" s="60"/>
      <c r="F41" s="68"/>
      <c r="G41" s="69"/>
      <c r="H41" s="62"/>
      <c r="I41" s="12"/>
      <c r="J41" s="13"/>
      <c r="K41" s="9"/>
      <c r="L41" s="10"/>
      <c r="M41" s="11"/>
      <c r="N41" s="13"/>
      <c r="O41" s="13"/>
    </row>
    <row r="42" spans="2:15" ht="12.75" thickBot="1" x14ac:dyDescent="0.35">
      <c r="B42" s="7" t="s">
        <v>36</v>
      </c>
      <c r="C42" s="41"/>
      <c r="D42" s="42"/>
      <c r="E42" s="61"/>
      <c r="F42" s="70"/>
      <c r="G42" s="71"/>
      <c r="H42" s="63"/>
      <c r="I42" s="15"/>
      <c r="J42" s="16"/>
      <c r="K42" s="7"/>
      <c r="L42" s="8"/>
      <c r="M42" s="14"/>
      <c r="N42" s="16"/>
      <c r="O42" s="16"/>
    </row>
    <row r="43" spans="2:15" s="17" customFormat="1" ht="11.25" x14ac:dyDescent="0.3">
      <c r="B43" s="18"/>
      <c r="D43" s="18"/>
      <c r="E43" s="18"/>
      <c r="F43" s="18"/>
      <c r="G43" s="18"/>
      <c r="H43" s="18"/>
    </row>
    <row r="44" spans="2:15" s="17" customFormat="1" ht="11.25" x14ac:dyDescent="0.3">
      <c r="B44" s="18"/>
      <c r="D44" s="18"/>
      <c r="E44" s="18"/>
      <c r="G44" s="18"/>
      <c r="H44" s="18"/>
    </row>
    <row r="45" spans="2:15" s="17" customFormat="1" ht="11.25" x14ac:dyDescent="0.3">
      <c r="B45" s="18"/>
      <c r="D45" s="18"/>
      <c r="E45" s="18"/>
      <c r="G45" s="18"/>
      <c r="H45" s="18"/>
    </row>
    <row r="46" spans="2:15" x14ac:dyDescent="0.3">
      <c r="D46" s="1"/>
      <c r="E46" s="1"/>
    </row>
    <row r="47" spans="2:15" x14ac:dyDescent="0.3">
      <c r="D47" s="1"/>
      <c r="E47" s="1"/>
    </row>
    <row r="48" spans="2:15" x14ac:dyDescent="0.3">
      <c r="D48" s="1"/>
      <c r="E48" s="1"/>
    </row>
    <row r="49" spans="4:5" x14ac:dyDescent="0.3">
      <c r="D49" s="1"/>
      <c r="E49" s="1"/>
    </row>
    <row r="50" spans="4:5" x14ac:dyDescent="0.3">
      <c r="D50" s="1"/>
      <c r="E50" s="1"/>
    </row>
  </sheetData>
  <mergeCells count="1">
    <mergeCell ref="B1:F2"/>
  </mergeCells>
  <phoneticPr fontId="1" type="noConversion"/>
  <pageMargins left="0.39370078740157483" right="0.39370078740157483" top="0.39370078740157483" bottom="0.39370078740157483" header="0.31496062992125984" footer="0.31496062992125984"/>
  <pageSetup paperSize="9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7AF8-6F0D-438A-9323-14258F65F3C2}">
  <sheetPr>
    <tabColor theme="4" tint="0.79998168889431442"/>
  </sheetPr>
  <dimension ref="B1:O50"/>
  <sheetViews>
    <sheetView showGridLines="0" workbookViewId="0"/>
  </sheetViews>
  <sheetFormatPr defaultRowHeight="12" x14ac:dyDescent="0.3"/>
  <cols>
    <col min="1" max="1" width="2.625" style="2" customWidth="1"/>
    <col min="2" max="2" width="5.625" style="1" customWidth="1"/>
    <col min="3" max="3" width="8.625" style="2" customWidth="1"/>
    <col min="4" max="4" width="5.625" style="2" customWidth="1"/>
    <col min="5" max="5" width="6.25" style="2" customWidth="1"/>
    <col min="6" max="6" width="10.625" style="2" customWidth="1"/>
    <col min="7" max="8" width="6.625" style="1" customWidth="1"/>
    <col min="9" max="9" width="8.625" style="2" customWidth="1"/>
    <col min="10" max="15" width="10.625" style="2" customWidth="1"/>
    <col min="16" max="18" width="2.625" style="2" customWidth="1"/>
    <col min="19" max="16384" width="9" style="2"/>
  </cols>
  <sheetData>
    <row r="1" spans="2:15" ht="12.75" customHeight="1" thickBot="1" x14ac:dyDescent="0.35">
      <c r="B1" s="56" t="s">
        <v>59</v>
      </c>
      <c r="C1" s="56"/>
      <c r="D1" s="56"/>
      <c r="E1" s="56"/>
      <c r="F1" s="56"/>
      <c r="G1" s="2"/>
      <c r="I1" s="58" t="s">
        <v>44</v>
      </c>
      <c r="J1" s="59">
        <v>700</v>
      </c>
    </row>
    <row r="2" spans="2:15" s="17" customFormat="1" ht="12" customHeight="1" thickBot="1" x14ac:dyDescent="0.35">
      <c r="B2" s="56"/>
      <c r="C2" s="56"/>
      <c r="D2" s="56"/>
      <c r="E2" s="56"/>
      <c r="F2" s="56"/>
      <c r="H2" s="18"/>
      <c r="I2" s="58" t="s">
        <v>45</v>
      </c>
      <c r="J2" s="59">
        <v>600</v>
      </c>
    </row>
    <row r="3" spans="2:15" x14ac:dyDescent="0.3">
      <c r="C3" s="57" t="s">
        <v>58</v>
      </c>
      <c r="F3" s="57" t="s">
        <v>57</v>
      </c>
      <c r="K3" s="35">
        <v>0.2</v>
      </c>
      <c r="L3" s="35">
        <v>0.3</v>
      </c>
      <c r="M3" s="35">
        <v>0.5</v>
      </c>
    </row>
    <row r="4" spans="2:15" ht="15.95" customHeight="1" x14ac:dyDescent="0.3">
      <c r="B4" s="3" t="s">
        <v>50</v>
      </c>
      <c r="C4" s="4" t="s">
        <v>47</v>
      </c>
      <c r="D4" s="4" t="s">
        <v>46</v>
      </c>
      <c r="E4" s="27" t="s">
        <v>49</v>
      </c>
      <c r="F4" s="21" t="s">
        <v>51</v>
      </c>
      <c r="G4" s="22" t="s">
        <v>41</v>
      </c>
      <c r="H4" s="23"/>
      <c r="I4" s="24"/>
      <c r="J4" s="25" t="s">
        <v>42</v>
      </c>
      <c r="K4" s="29" t="s">
        <v>54</v>
      </c>
      <c r="L4" s="30"/>
      <c r="M4" s="31"/>
      <c r="N4" s="37" t="s">
        <v>53</v>
      </c>
      <c r="O4" s="37" t="s">
        <v>56</v>
      </c>
    </row>
    <row r="5" spans="2:15" ht="15.95" customHeight="1" thickBot="1" x14ac:dyDescent="0.35">
      <c r="B5" s="5"/>
      <c r="C5" s="6" t="s">
        <v>48</v>
      </c>
      <c r="D5" s="6" t="s">
        <v>37</v>
      </c>
      <c r="E5" s="28" t="s">
        <v>43</v>
      </c>
      <c r="F5" s="64" t="s">
        <v>40</v>
      </c>
      <c r="G5" s="65" t="s">
        <v>38</v>
      </c>
      <c r="H5" s="26" t="s">
        <v>39</v>
      </c>
      <c r="I5" s="20" t="s">
        <v>40</v>
      </c>
      <c r="J5" s="19" t="s">
        <v>40</v>
      </c>
      <c r="K5" s="32" t="s">
        <v>51</v>
      </c>
      <c r="L5" s="33" t="s">
        <v>52</v>
      </c>
      <c r="M5" s="34" t="s">
        <v>42</v>
      </c>
      <c r="N5" s="38" t="s">
        <v>55</v>
      </c>
      <c r="O5" s="38"/>
    </row>
    <row r="6" spans="2:15" x14ac:dyDescent="0.3">
      <c r="B6" s="9" t="s">
        <v>0</v>
      </c>
      <c r="C6" s="39"/>
      <c r="D6" s="40">
        <v>5</v>
      </c>
      <c r="E6" s="60" t="s">
        <v>44</v>
      </c>
      <c r="F6" s="66">
        <v>300</v>
      </c>
      <c r="G6" s="67">
        <v>4</v>
      </c>
      <c r="H6" s="62">
        <f>G6/D6</f>
        <v>0.8</v>
      </c>
      <c r="I6" s="12">
        <f>LEFT(H6*1000,2)*10</f>
        <v>800</v>
      </c>
      <c r="J6" s="13">
        <f t="shared" ref="J6:J42" si="0">VLOOKUP(E6,$I$1:$J$2,2,0)</f>
        <v>700</v>
      </c>
      <c r="K6" s="9">
        <f>F6*0.2</f>
        <v>60</v>
      </c>
      <c r="L6" s="10">
        <f>I6*0.3</f>
        <v>240</v>
      </c>
      <c r="M6" s="11">
        <f>J6*0.5</f>
        <v>350</v>
      </c>
      <c r="N6" s="36">
        <f>SUM(K6:M6)</f>
        <v>650</v>
      </c>
      <c r="O6" s="36">
        <f>RANK(N6,$N$6:$N$42)</f>
        <v>7</v>
      </c>
    </row>
    <row r="7" spans="2:15" x14ac:dyDescent="0.3">
      <c r="B7" s="9" t="s">
        <v>1</v>
      </c>
      <c r="C7" s="39"/>
      <c r="D7" s="40">
        <v>7</v>
      </c>
      <c r="E7" s="60" t="s">
        <v>45</v>
      </c>
      <c r="F7" s="68">
        <v>200</v>
      </c>
      <c r="G7" s="69">
        <v>4</v>
      </c>
      <c r="H7" s="62">
        <f t="shared" ref="H7:H42" si="1">G7/D7</f>
        <v>0.5714285714285714</v>
      </c>
      <c r="I7" s="12">
        <f t="shared" ref="I7:I42" si="2">LEFT(H7*1000,2)*10</f>
        <v>570</v>
      </c>
      <c r="J7" s="13">
        <f t="shared" si="0"/>
        <v>600</v>
      </c>
      <c r="K7" s="9">
        <f t="shared" ref="K7:K42" si="3">F7*0.2</f>
        <v>40</v>
      </c>
      <c r="L7" s="10">
        <f t="shared" ref="L7:L42" si="4">I7*0.3</f>
        <v>171</v>
      </c>
      <c r="M7" s="11">
        <f t="shared" ref="M7:M42" si="5">J7*0.5</f>
        <v>300</v>
      </c>
      <c r="N7" s="13">
        <f t="shared" ref="N7:N42" si="6">SUM(K7:M7)</f>
        <v>511</v>
      </c>
      <c r="O7" s="13">
        <f t="shared" ref="O7:O42" si="7">RANK(N7,$N$6:$N$42)</f>
        <v>32</v>
      </c>
    </row>
    <row r="8" spans="2:15" x14ac:dyDescent="0.3">
      <c r="B8" s="9" t="s">
        <v>2</v>
      </c>
      <c r="C8" s="39"/>
      <c r="D8" s="40">
        <v>8</v>
      </c>
      <c r="E8" s="60" t="s">
        <v>44</v>
      </c>
      <c r="F8" s="68">
        <v>500</v>
      </c>
      <c r="G8" s="69">
        <v>4</v>
      </c>
      <c r="H8" s="62">
        <f t="shared" si="1"/>
        <v>0.5</v>
      </c>
      <c r="I8" s="12">
        <f t="shared" si="2"/>
        <v>500</v>
      </c>
      <c r="J8" s="13">
        <f t="shared" si="0"/>
        <v>700</v>
      </c>
      <c r="K8" s="9">
        <f t="shared" si="3"/>
        <v>100</v>
      </c>
      <c r="L8" s="10">
        <f t="shared" si="4"/>
        <v>150</v>
      </c>
      <c r="M8" s="11">
        <f t="shared" si="5"/>
        <v>350</v>
      </c>
      <c r="N8" s="13">
        <f t="shared" si="6"/>
        <v>600</v>
      </c>
      <c r="O8" s="13">
        <f t="shared" si="7"/>
        <v>14</v>
      </c>
    </row>
    <row r="9" spans="2:15" x14ac:dyDescent="0.3">
      <c r="B9" s="9" t="s">
        <v>3</v>
      </c>
      <c r="C9" s="39"/>
      <c r="D9" s="40">
        <v>9</v>
      </c>
      <c r="E9" s="60" t="s">
        <v>45</v>
      </c>
      <c r="F9" s="68">
        <v>400</v>
      </c>
      <c r="G9" s="69">
        <v>4</v>
      </c>
      <c r="H9" s="62">
        <f t="shared" si="1"/>
        <v>0.44444444444444442</v>
      </c>
      <c r="I9" s="12">
        <f t="shared" si="2"/>
        <v>440</v>
      </c>
      <c r="J9" s="13">
        <f t="shared" si="0"/>
        <v>600</v>
      </c>
      <c r="K9" s="9">
        <f t="shared" si="3"/>
        <v>80</v>
      </c>
      <c r="L9" s="10">
        <f t="shared" si="4"/>
        <v>132</v>
      </c>
      <c r="M9" s="11">
        <f t="shared" si="5"/>
        <v>300</v>
      </c>
      <c r="N9" s="13">
        <f t="shared" si="6"/>
        <v>512</v>
      </c>
      <c r="O9" s="13">
        <f t="shared" si="7"/>
        <v>29</v>
      </c>
    </row>
    <row r="10" spans="2:15" x14ac:dyDescent="0.3">
      <c r="B10" s="49" t="s">
        <v>4</v>
      </c>
      <c r="C10" s="50"/>
      <c r="D10" s="51">
        <v>6</v>
      </c>
      <c r="E10" s="73" t="s">
        <v>44</v>
      </c>
      <c r="F10" s="76">
        <v>600</v>
      </c>
      <c r="G10" s="77">
        <v>4</v>
      </c>
      <c r="H10" s="75">
        <f t="shared" si="1"/>
        <v>0.66666666666666663</v>
      </c>
      <c r="I10" s="52">
        <f t="shared" si="2"/>
        <v>660</v>
      </c>
      <c r="J10" s="53">
        <f t="shared" si="0"/>
        <v>700</v>
      </c>
      <c r="K10" s="49">
        <f t="shared" si="3"/>
        <v>120</v>
      </c>
      <c r="L10" s="54">
        <f t="shared" si="4"/>
        <v>198</v>
      </c>
      <c r="M10" s="55">
        <f t="shared" si="5"/>
        <v>350</v>
      </c>
      <c r="N10" s="53">
        <f t="shared" si="6"/>
        <v>668</v>
      </c>
      <c r="O10" s="53">
        <f t="shared" si="7"/>
        <v>5</v>
      </c>
    </row>
    <row r="11" spans="2:15" x14ac:dyDescent="0.3">
      <c r="B11" s="9" t="s">
        <v>5</v>
      </c>
      <c r="C11" s="39"/>
      <c r="D11" s="40">
        <v>7</v>
      </c>
      <c r="E11" s="60" t="s">
        <v>45</v>
      </c>
      <c r="F11" s="68">
        <v>200</v>
      </c>
      <c r="G11" s="69">
        <v>4</v>
      </c>
      <c r="H11" s="62">
        <f t="shared" si="1"/>
        <v>0.5714285714285714</v>
      </c>
      <c r="I11" s="12">
        <f t="shared" si="2"/>
        <v>570</v>
      </c>
      <c r="J11" s="13">
        <f t="shared" si="0"/>
        <v>600</v>
      </c>
      <c r="K11" s="9">
        <f t="shared" si="3"/>
        <v>40</v>
      </c>
      <c r="L11" s="10">
        <f t="shared" si="4"/>
        <v>171</v>
      </c>
      <c r="M11" s="11">
        <f t="shared" si="5"/>
        <v>300</v>
      </c>
      <c r="N11" s="13">
        <f t="shared" si="6"/>
        <v>511</v>
      </c>
      <c r="O11" s="13">
        <f t="shared" si="7"/>
        <v>32</v>
      </c>
    </row>
    <row r="12" spans="2:15" x14ac:dyDescent="0.3">
      <c r="B12" s="9" t="s">
        <v>6</v>
      </c>
      <c r="C12" s="39"/>
      <c r="D12" s="40">
        <v>5</v>
      </c>
      <c r="E12" s="60" t="s">
        <v>44</v>
      </c>
      <c r="F12" s="68">
        <v>400</v>
      </c>
      <c r="G12" s="69">
        <v>4</v>
      </c>
      <c r="H12" s="62">
        <f t="shared" si="1"/>
        <v>0.8</v>
      </c>
      <c r="I12" s="12">
        <f t="shared" si="2"/>
        <v>800</v>
      </c>
      <c r="J12" s="13">
        <f t="shared" si="0"/>
        <v>700</v>
      </c>
      <c r="K12" s="9">
        <f t="shared" si="3"/>
        <v>80</v>
      </c>
      <c r="L12" s="10">
        <f t="shared" si="4"/>
        <v>240</v>
      </c>
      <c r="M12" s="11">
        <f t="shared" si="5"/>
        <v>350</v>
      </c>
      <c r="N12" s="13">
        <f t="shared" si="6"/>
        <v>670</v>
      </c>
      <c r="O12" s="13">
        <f t="shared" si="7"/>
        <v>3</v>
      </c>
    </row>
    <row r="13" spans="2:15" x14ac:dyDescent="0.3">
      <c r="B13" s="9" t="s">
        <v>7</v>
      </c>
      <c r="C13" s="39"/>
      <c r="D13" s="40">
        <v>9</v>
      </c>
      <c r="E13" s="60" t="s">
        <v>45</v>
      </c>
      <c r="F13" s="68">
        <v>300</v>
      </c>
      <c r="G13" s="69">
        <v>4</v>
      </c>
      <c r="H13" s="62">
        <f t="shared" si="1"/>
        <v>0.44444444444444442</v>
      </c>
      <c r="I13" s="12">
        <f t="shared" si="2"/>
        <v>440</v>
      </c>
      <c r="J13" s="13">
        <f t="shared" si="0"/>
        <v>600</v>
      </c>
      <c r="K13" s="9">
        <f t="shared" si="3"/>
        <v>60</v>
      </c>
      <c r="L13" s="10">
        <f t="shared" si="4"/>
        <v>132</v>
      </c>
      <c r="M13" s="11">
        <f t="shared" si="5"/>
        <v>300</v>
      </c>
      <c r="N13" s="13">
        <f t="shared" si="6"/>
        <v>492</v>
      </c>
      <c r="O13" s="13">
        <f t="shared" si="7"/>
        <v>35</v>
      </c>
    </row>
    <row r="14" spans="2:15" x14ac:dyDescent="0.3">
      <c r="B14" s="9" t="s">
        <v>8</v>
      </c>
      <c r="C14" s="39"/>
      <c r="D14" s="40">
        <v>6</v>
      </c>
      <c r="E14" s="60" t="s">
        <v>44</v>
      </c>
      <c r="F14" s="68">
        <v>200</v>
      </c>
      <c r="G14" s="69">
        <v>4</v>
      </c>
      <c r="H14" s="62">
        <f t="shared" si="1"/>
        <v>0.66666666666666663</v>
      </c>
      <c r="I14" s="12">
        <f t="shared" si="2"/>
        <v>660</v>
      </c>
      <c r="J14" s="13">
        <f t="shared" si="0"/>
        <v>700</v>
      </c>
      <c r="K14" s="9">
        <f t="shared" si="3"/>
        <v>40</v>
      </c>
      <c r="L14" s="10">
        <f t="shared" si="4"/>
        <v>198</v>
      </c>
      <c r="M14" s="11">
        <f t="shared" si="5"/>
        <v>350</v>
      </c>
      <c r="N14" s="13">
        <f t="shared" si="6"/>
        <v>588</v>
      </c>
      <c r="O14" s="13">
        <f t="shared" si="7"/>
        <v>18</v>
      </c>
    </row>
    <row r="15" spans="2:15" x14ac:dyDescent="0.3">
      <c r="B15" s="49" t="s">
        <v>9</v>
      </c>
      <c r="C15" s="50"/>
      <c r="D15" s="51">
        <v>5</v>
      </c>
      <c r="E15" s="73" t="s">
        <v>45</v>
      </c>
      <c r="F15" s="76">
        <v>500</v>
      </c>
      <c r="G15" s="77">
        <v>4</v>
      </c>
      <c r="H15" s="75">
        <f t="shared" si="1"/>
        <v>0.8</v>
      </c>
      <c r="I15" s="52">
        <f t="shared" si="2"/>
        <v>800</v>
      </c>
      <c r="J15" s="53">
        <f t="shared" si="0"/>
        <v>600</v>
      </c>
      <c r="K15" s="49">
        <f t="shared" si="3"/>
        <v>100</v>
      </c>
      <c r="L15" s="54">
        <f t="shared" si="4"/>
        <v>240</v>
      </c>
      <c r="M15" s="55">
        <f t="shared" si="5"/>
        <v>300</v>
      </c>
      <c r="N15" s="53">
        <f t="shared" si="6"/>
        <v>640</v>
      </c>
      <c r="O15" s="53">
        <f t="shared" si="7"/>
        <v>9</v>
      </c>
    </row>
    <row r="16" spans="2:15" x14ac:dyDescent="0.3">
      <c r="B16" s="9" t="s">
        <v>10</v>
      </c>
      <c r="C16" s="39"/>
      <c r="D16" s="40">
        <v>8</v>
      </c>
      <c r="E16" s="60" t="s">
        <v>44</v>
      </c>
      <c r="F16" s="68">
        <v>400</v>
      </c>
      <c r="G16" s="69">
        <v>4</v>
      </c>
      <c r="H16" s="62">
        <f t="shared" si="1"/>
        <v>0.5</v>
      </c>
      <c r="I16" s="12">
        <f t="shared" si="2"/>
        <v>500</v>
      </c>
      <c r="J16" s="13">
        <f t="shared" si="0"/>
        <v>700</v>
      </c>
      <c r="K16" s="9">
        <f t="shared" si="3"/>
        <v>80</v>
      </c>
      <c r="L16" s="10">
        <f t="shared" si="4"/>
        <v>150</v>
      </c>
      <c r="M16" s="11">
        <f t="shared" si="5"/>
        <v>350</v>
      </c>
      <c r="N16" s="13">
        <f t="shared" si="6"/>
        <v>580</v>
      </c>
      <c r="O16" s="13">
        <f t="shared" si="7"/>
        <v>19</v>
      </c>
    </row>
    <row r="17" spans="2:15" x14ac:dyDescent="0.3">
      <c r="B17" s="9" t="s">
        <v>11</v>
      </c>
      <c r="C17" s="39"/>
      <c r="D17" s="40">
        <v>7</v>
      </c>
      <c r="E17" s="60" t="s">
        <v>45</v>
      </c>
      <c r="F17" s="68">
        <v>600</v>
      </c>
      <c r="G17" s="69">
        <v>4</v>
      </c>
      <c r="H17" s="62">
        <f t="shared" si="1"/>
        <v>0.5714285714285714</v>
      </c>
      <c r="I17" s="12">
        <f t="shared" si="2"/>
        <v>570</v>
      </c>
      <c r="J17" s="13">
        <f t="shared" si="0"/>
        <v>600</v>
      </c>
      <c r="K17" s="9">
        <f t="shared" si="3"/>
        <v>120</v>
      </c>
      <c r="L17" s="10">
        <f t="shared" si="4"/>
        <v>171</v>
      </c>
      <c r="M17" s="11">
        <f t="shared" si="5"/>
        <v>300</v>
      </c>
      <c r="N17" s="13">
        <f t="shared" si="6"/>
        <v>591</v>
      </c>
      <c r="O17" s="13">
        <f t="shared" si="7"/>
        <v>16</v>
      </c>
    </row>
    <row r="18" spans="2:15" x14ac:dyDescent="0.3">
      <c r="B18" s="9" t="s">
        <v>12</v>
      </c>
      <c r="C18" s="39"/>
      <c r="D18" s="40">
        <v>5</v>
      </c>
      <c r="E18" s="60" t="s">
        <v>44</v>
      </c>
      <c r="F18" s="68">
        <v>200</v>
      </c>
      <c r="G18" s="69">
        <v>4</v>
      </c>
      <c r="H18" s="62">
        <f t="shared" si="1"/>
        <v>0.8</v>
      </c>
      <c r="I18" s="12">
        <f t="shared" si="2"/>
        <v>800</v>
      </c>
      <c r="J18" s="13">
        <f t="shared" si="0"/>
        <v>700</v>
      </c>
      <c r="K18" s="9">
        <f t="shared" si="3"/>
        <v>40</v>
      </c>
      <c r="L18" s="10">
        <f t="shared" si="4"/>
        <v>240</v>
      </c>
      <c r="M18" s="11">
        <f t="shared" si="5"/>
        <v>350</v>
      </c>
      <c r="N18" s="13">
        <f t="shared" si="6"/>
        <v>630</v>
      </c>
      <c r="O18" s="13">
        <f t="shared" si="7"/>
        <v>10</v>
      </c>
    </row>
    <row r="19" spans="2:15" x14ac:dyDescent="0.3">
      <c r="B19" s="9" t="s">
        <v>13</v>
      </c>
      <c r="C19" s="39"/>
      <c r="D19" s="40">
        <v>7</v>
      </c>
      <c r="E19" s="60" t="s">
        <v>45</v>
      </c>
      <c r="F19" s="68">
        <v>400</v>
      </c>
      <c r="G19" s="69">
        <v>4</v>
      </c>
      <c r="H19" s="62">
        <f t="shared" si="1"/>
        <v>0.5714285714285714</v>
      </c>
      <c r="I19" s="12">
        <f t="shared" si="2"/>
        <v>570</v>
      </c>
      <c r="J19" s="13">
        <f t="shared" si="0"/>
        <v>600</v>
      </c>
      <c r="K19" s="9">
        <f t="shared" si="3"/>
        <v>80</v>
      </c>
      <c r="L19" s="10">
        <f t="shared" si="4"/>
        <v>171</v>
      </c>
      <c r="M19" s="11">
        <f t="shared" si="5"/>
        <v>300</v>
      </c>
      <c r="N19" s="13">
        <f t="shared" si="6"/>
        <v>551</v>
      </c>
      <c r="O19" s="13">
        <f t="shared" si="7"/>
        <v>24</v>
      </c>
    </row>
    <row r="20" spans="2:15" x14ac:dyDescent="0.3">
      <c r="B20" s="49" t="s">
        <v>14</v>
      </c>
      <c r="C20" s="50"/>
      <c r="D20" s="51">
        <v>8</v>
      </c>
      <c r="E20" s="73" t="s">
        <v>44</v>
      </c>
      <c r="F20" s="76">
        <v>300</v>
      </c>
      <c r="G20" s="77">
        <v>4</v>
      </c>
      <c r="H20" s="75">
        <f t="shared" si="1"/>
        <v>0.5</v>
      </c>
      <c r="I20" s="52">
        <f t="shared" si="2"/>
        <v>500</v>
      </c>
      <c r="J20" s="53">
        <f t="shared" si="0"/>
        <v>700</v>
      </c>
      <c r="K20" s="49">
        <f t="shared" si="3"/>
        <v>60</v>
      </c>
      <c r="L20" s="54">
        <f t="shared" si="4"/>
        <v>150</v>
      </c>
      <c r="M20" s="55">
        <f t="shared" si="5"/>
        <v>350</v>
      </c>
      <c r="N20" s="53">
        <f t="shared" si="6"/>
        <v>560</v>
      </c>
      <c r="O20" s="53">
        <f t="shared" si="7"/>
        <v>23</v>
      </c>
    </row>
    <row r="21" spans="2:15" x14ac:dyDescent="0.3">
      <c r="B21" s="9" t="s">
        <v>15</v>
      </c>
      <c r="C21" s="39"/>
      <c r="D21" s="40">
        <v>9</v>
      </c>
      <c r="E21" s="60" t="s">
        <v>45</v>
      </c>
      <c r="F21" s="68">
        <v>200</v>
      </c>
      <c r="G21" s="69">
        <v>4</v>
      </c>
      <c r="H21" s="62">
        <f t="shared" si="1"/>
        <v>0.44444444444444442</v>
      </c>
      <c r="I21" s="12">
        <f t="shared" si="2"/>
        <v>440</v>
      </c>
      <c r="J21" s="13">
        <f t="shared" si="0"/>
        <v>600</v>
      </c>
      <c r="K21" s="9">
        <f t="shared" si="3"/>
        <v>40</v>
      </c>
      <c r="L21" s="10">
        <f t="shared" si="4"/>
        <v>132</v>
      </c>
      <c r="M21" s="11">
        <f t="shared" si="5"/>
        <v>300</v>
      </c>
      <c r="N21" s="13">
        <f t="shared" si="6"/>
        <v>472</v>
      </c>
      <c r="O21" s="13">
        <f t="shared" si="7"/>
        <v>36</v>
      </c>
    </row>
    <row r="22" spans="2:15" x14ac:dyDescent="0.3">
      <c r="B22" s="9" t="s">
        <v>16</v>
      </c>
      <c r="C22" s="39"/>
      <c r="D22" s="40">
        <v>6</v>
      </c>
      <c r="E22" s="60" t="s">
        <v>44</v>
      </c>
      <c r="F22" s="68">
        <v>500</v>
      </c>
      <c r="G22" s="69">
        <v>4</v>
      </c>
      <c r="H22" s="62">
        <f t="shared" si="1"/>
        <v>0.66666666666666663</v>
      </c>
      <c r="I22" s="12">
        <f t="shared" si="2"/>
        <v>660</v>
      </c>
      <c r="J22" s="13">
        <f t="shared" si="0"/>
        <v>700</v>
      </c>
      <c r="K22" s="9">
        <f t="shared" si="3"/>
        <v>100</v>
      </c>
      <c r="L22" s="10">
        <f t="shared" si="4"/>
        <v>198</v>
      </c>
      <c r="M22" s="11">
        <f t="shared" si="5"/>
        <v>350</v>
      </c>
      <c r="N22" s="13">
        <f t="shared" si="6"/>
        <v>648</v>
      </c>
      <c r="O22" s="13">
        <f t="shared" si="7"/>
        <v>8</v>
      </c>
    </row>
    <row r="23" spans="2:15" x14ac:dyDescent="0.3">
      <c r="B23" s="9" t="s">
        <v>17</v>
      </c>
      <c r="C23" s="39"/>
      <c r="D23" s="40">
        <v>7</v>
      </c>
      <c r="E23" s="60" t="s">
        <v>45</v>
      </c>
      <c r="F23" s="68">
        <v>400</v>
      </c>
      <c r="G23" s="69">
        <v>4</v>
      </c>
      <c r="H23" s="62">
        <f t="shared" si="1"/>
        <v>0.5714285714285714</v>
      </c>
      <c r="I23" s="12">
        <f t="shared" si="2"/>
        <v>570</v>
      </c>
      <c r="J23" s="13">
        <f t="shared" si="0"/>
        <v>600</v>
      </c>
      <c r="K23" s="9">
        <f t="shared" si="3"/>
        <v>80</v>
      </c>
      <c r="L23" s="10">
        <f t="shared" si="4"/>
        <v>171</v>
      </c>
      <c r="M23" s="11">
        <f t="shared" si="5"/>
        <v>300</v>
      </c>
      <c r="N23" s="13">
        <f t="shared" si="6"/>
        <v>551</v>
      </c>
      <c r="O23" s="13">
        <f t="shared" si="7"/>
        <v>24</v>
      </c>
    </row>
    <row r="24" spans="2:15" x14ac:dyDescent="0.3">
      <c r="B24" s="9" t="s">
        <v>18</v>
      </c>
      <c r="C24" s="39"/>
      <c r="D24" s="40">
        <v>5</v>
      </c>
      <c r="E24" s="60" t="s">
        <v>44</v>
      </c>
      <c r="F24" s="68">
        <v>600</v>
      </c>
      <c r="G24" s="69">
        <v>4</v>
      </c>
      <c r="H24" s="62">
        <f t="shared" si="1"/>
        <v>0.8</v>
      </c>
      <c r="I24" s="12">
        <f t="shared" si="2"/>
        <v>800</v>
      </c>
      <c r="J24" s="13">
        <f t="shared" si="0"/>
        <v>700</v>
      </c>
      <c r="K24" s="9">
        <f t="shared" si="3"/>
        <v>120</v>
      </c>
      <c r="L24" s="10">
        <f t="shared" si="4"/>
        <v>240</v>
      </c>
      <c r="M24" s="11">
        <f t="shared" si="5"/>
        <v>350</v>
      </c>
      <c r="N24" s="13">
        <f t="shared" si="6"/>
        <v>710</v>
      </c>
      <c r="O24" s="13">
        <f t="shared" si="7"/>
        <v>1</v>
      </c>
    </row>
    <row r="25" spans="2:15" x14ac:dyDescent="0.3">
      <c r="B25" s="49" t="s">
        <v>19</v>
      </c>
      <c r="C25" s="50"/>
      <c r="D25" s="51">
        <v>9</v>
      </c>
      <c r="E25" s="73" t="s">
        <v>45</v>
      </c>
      <c r="F25" s="76">
        <v>200</v>
      </c>
      <c r="G25" s="77">
        <v>4</v>
      </c>
      <c r="H25" s="75">
        <f t="shared" si="1"/>
        <v>0.44444444444444442</v>
      </c>
      <c r="I25" s="52">
        <f t="shared" si="2"/>
        <v>440</v>
      </c>
      <c r="J25" s="53">
        <f t="shared" si="0"/>
        <v>600</v>
      </c>
      <c r="K25" s="49">
        <f t="shared" si="3"/>
        <v>40</v>
      </c>
      <c r="L25" s="54">
        <f t="shared" si="4"/>
        <v>132</v>
      </c>
      <c r="M25" s="55">
        <f t="shared" si="5"/>
        <v>300</v>
      </c>
      <c r="N25" s="53">
        <f t="shared" si="6"/>
        <v>472</v>
      </c>
      <c r="O25" s="53">
        <f t="shared" si="7"/>
        <v>36</v>
      </c>
    </row>
    <row r="26" spans="2:15" x14ac:dyDescent="0.3">
      <c r="B26" s="9" t="s">
        <v>20</v>
      </c>
      <c r="C26" s="39"/>
      <c r="D26" s="40">
        <v>6</v>
      </c>
      <c r="E26" s="60" t="s">
        <v>44</v>
      </c>
      <c r="F26" s="68">
        <v>400</v>
      </c>
      <c r="G26" s="69">
        <v>4</v>
      </c>
      <c r="H26" s="62">
        <f t="shared" si="1"/>
        <v>0.66666666666666663</v>
      </c>
      <c r="I26" s="12">
        <f t="shared" si="2"/>
        <v>660</v>
      </c>
      <c r="J26" s="13">
        <f t="shared" si="0"/>
        <v>700</v>
      </c>
      <c r="K26" s="9">
        <f t="shared" si="3"/>
        <v>80</v>
      </c>
      <c r="L26" s="10">
        <f t="shared" si="4"/>
        <v>198</v>
      </c>
      <c r="M26" s="11">
        <f t="shared" si="5"/>
        <v>350</v>
      </c>
      <c r="N26" s="13">
        <f t="shared" si="6"/>
        <v>628</v>
      </c>
      <c r="O26" s="13">
        <f t="shared" si="7"/>
        <v>12</v>
      </c>
    </row>
    <row r="27" spans="2:15" x14ac:dyDescent="0.3">
      <c r="B27" s="9" t="s">
        <v>21</v>
      </c>
      <c r="C27" s="39"/>
      <c r="D27" s="40">
        <v>5</v>
      </c>
      <c r="E27" s="60" t="s">
        <v>45</v>
      </c>
      <c r="F27" s="68">
        <v>300</v>
      </c>
      <c r="G27" s="69">
        <v>4</v>
      </c>
      <c r="H27" s="62">
        <f t="shared" si="1"/>
        <v>0.8</v>
      </c>
      <c r="I27" s="12">
        <f t="shared" si="2"/>
        <v>800</v>
      </c>
      <c r="J27" s="13">
        <f t="shared" si="0"/>
        <v>600</v>
      </c>
      <c r="K27" s="9">
        <f t="shared" si="3"/>
        <v>60</v>
      </c>
      <c r="L27" s="10">
        <f t="shared" si="4"/>
        <v>240</v>
      </c>
      <c r="M27" s="11">
        <f t="shared" si="5"/>
        <v>300</v>
      </c>
      <c r="N27" s="13">
        <f t="shared" si="6"/>
        <v>600</v>
      </c>
      <c r="O27" s="13">
        <f t="shared" si="7"/>
        <v>14</v>
      </c>
    </row>
    <row r="28" spans="2:15" x14ac:dyDescent="0.3">
      <c r="B28" s="9" t="s">
        <v>22</v>
      </c>
      <c r="C28" s="39"/>
      <c r="D28" s="40">
        <v>8</v>
      </c>
      <c r="E28" s="60" t="s">
        <v>44</v>
      </c>
      <c r="F28" s="68">
        <v>200</v>
      </c>
      <c r="G28" s="69">
        <v>4</v>
      </c>
      <c r="H28" s="62">
        <f t="shared" si="1"/>
        <v>0.5</v>
      </c>
      <c r="I28" s="12">
        <f t="shared" si="2"/>
        <v>500</v>
      </c>
      <c r="J28" s="13">
        <f t="shared" si="0"/>
        <v>700</v>
      </c>
      <c r="K28" s="9">
        <f t="shared" si="3"/>
        <v>40</v>
      </c>
      <c r="L28" s="10">
        <f t="shared" si="4"/>
        <v>150</v>
      </c>
      <c r="M28" s="11">
        <f t="shared" si="5"/>
        <v>350</v>
      </c>
      <c r="N28" s="13">
        <f t="shared" si="6"/>
        <v>540</v>
      </c>
      <c r="O28" s="13">
        <f t="shared" si="7"/>
        <v>26</v>
      </c>
    </row>
    <row r="29" spans="2:15" x14ac:dyDescent="0.3">
      <c r="B29" s="9" t="s">
        <v>23</v>
      </c>
      <c r="C29" s="39"/>
      <c r="D29" s="40">
        <v>7</v>
      </c>
      <c r="E29" s="60" t="s">
        <v>45</v>
      </c>
      <c r="F29" s="68">
        <v>500</v>
      </c>
      <c r="G29" s="69">
        <v>4</v>
      </c>
      <c r="H29" s="62">
        <f t="shared" si="1"/>
        <v>0.5714285714285714</v>
      </c>
      <c r="I29" s="12">
        <f t="shared" si="2"/>
        <v>570</v>
      </c>
      <c r="J29" s="13">
        <f t="shared" si="0"/>
        <v>600</v>
      </c>
      <c r="K29" s="9">
        <f t="shared" si="3"/>
        <v>100</v>
      </c>
      <c r="L29" s="10">
        <f t="shared" si="4"/>
        <v>171</v>
      </c>
      <c r="M29" s="11">
        <f t="shared" si="5"/>
        <v>300</v>
      </c>
      <c r="N29" s="13">
        <f t="shared" si="6"/>
        <v>571</v>
      </c>
      <c r="O29" s="13">
        <f t="shared" si="7"/>
        <v>22</v>
      </c>
    </row>
    <row r="30" spans="2:15" x14ac:dyDescent="0.3">
      <c r="B30" s="49" t="s">
        <v>24</v>
      </c>
      <c r="C30" s="50"/>
      <c r="D30" s="51">
        <v>5</v>
      </c>
      <c r="E30" s="73" t="s">
        <v>44</v>
      </c>
      <c r="F30" s="76">
        <v>400</v>
      </c>
      <c r="G30" s="77">
        <v>4</v>
      </c>
      <c r="H30" s="75">
        <f t="shared" si="1"/>
        <v>0.8</v>
      </c>
      <c r="I30" s="52">
        <f t="shared" si="2"/>
        <v>800</v>
      </c>
      <c r="J30" s="53">
        <f t="shared" si="0"/>
        <v>700</v>
      </c>
      <c r="K30" s="49">
        <f t="shared" si="3"/>
        <v>80</v>
      </c>
      <c r="L30" s="54">
        <f t="shared" si="4"/>
        <v>240</v>
      </c>
      <c r="M30" s="55">
        <f t="shared" si="5"/>
        <v>350</v>
      </c>
      <c r="N30" s="53">
        <f t="shared" si="6"/>
        <v>670</v>
      </c>
      <c r="O30" s="53">
        <f t="shared" si="7"/>
        <v>3</v>
      </c>
    </row>
    <row r="31" spans="2:15" x14ac:dyDescent="0.3">
      <c r="B31" s="9" t="s">
        <v>25</v>
      </c>
      <c r="C31" s="39"/>
      <c r="D31" s="40">
        <v>7</v>
      </c>
      <c r="E31" s="60" t="s">
        <v>45</v>
      </c>
      <c r="F31" s="68">
        <v>600</v>
      </c>
      <c r="G31" s="69">
        <v>4</v>
      </c>
      <c r="H31" s="62">
        <f t="shared" si="1"/>
        <v>0.5714285714285714</v>
      </c>
      <c r="I31" s="12">
        <f t="shared" si="2"/>
        <v>570</v>
      </c>
      <c r="J31" s="13">
        <f t="shared" si="0"/>
        <v>600</v>
      </c>
      <c r="K31" s="9">
        <f t="shared" si="3"/>
        <v>120</v>
      </c>
      <c r="L31" s="10">
        <f t="shared" si="4"/>
        <v>171</v>
      </c>
      <c r="M31" s="11">
        <f t="shared" si="5"/>
        <v>300</v>
      </c>
      <c r="N31" s="13">
        <f t="shared" si="6"/>
        <v>591</v>
      </c>
      <c r="O31" s="13">
        <f t="shared" si="7"/>
        <v>16</v>
      </c>
    </row>
    <row r="32" spans="2:15" x14ac:dyDescent="0.3">
      <c r="B32" s="9" t="s">
        <v>26</v>
      </c>
      <c r="C32" s="39"/>
      <c r="D32" s="40">
        <v>8</v>
      </c>
      <c r="E32" s="60" t="s">
        <v>44</v>
      </c>
      <c r="F32" s="68">
        <v>200</v>
      </c>
      <c r="G32" s="69">
        <v>4</v>
      </c>
      <c r="H32" s="62">
        <f t="shared" si="1"/>
        <v>0.5</v>
      </c>
      <c r="I32" s="12">
        <f t="shared" si="2"/>
        <v>500</v>
      </c>
      <c r="J32" s="13">
        <f t="shared" si="0"/>
        <v>700</v>
      </c>
      <c r="K32" s="9">
        <f t="shared" si="3"/>
        <v>40</v>
      </c>
      <c r="L32" s="10">
        <f t="shared" si="4"/>
        <v>150</v>
      </c>
      <c r="M32" s="11">
        <f t="shared" si="5"/>
        <v>350</v>
      </c>
      <c r="N32" s="13">
        <f t="shared" si="6"/>
        <v>540</v>
      </c>
      <c r="O32" s="13">
        <f t="shared" si="7"/>
        <v>26</v>
      </c>
    </row>
    <row r="33" spans="2:15" x14ac:dyDescent="0.3">
      <c r="B33" s="9" t="s">
        <v>27</v>
      </c>
      <c r="C33" s="39"/>
      <c r="D33" s="40">
        <v>9</v>
      </c>
      <c r="E33" s="60" t="s">
        <v>45</v>
      </c>
      <c r="F33" s="68">
        <v>400</v>
      </c>
      <c r="G33" s="69">
        <v>4</v>
      </c>
      <c r="H33" s="62">
        <f t="shared" si="1"/>
        <v>0.44444444444444442</v>
      </c>
      <c r="I33" s="12">
        <f t="shared" si="2"/>
        <v>440</v>
      </c>
      <c r="J33" s="13">
        <f t="shared" si="0"/>
        <v>600</v>
      </c>
      <c r="K33" s="9">
        <f t="shared" si="3"/>
        <v>80</v>
      </c>
      <c r="L33" s="10">
        <f t="shared" si="4"/>
        <v>132</v>
      </c>
      <c r="M33" s="11">
        <f t="shared" si="5"/>
        <v>300</v>
      </c>
      <c r="N33" s="13">
        <f t="shared" si="6"/>
        <v>512</v>
      </c>
      <c r="O33" s="13">
        <f t="shared" si="7"/>
        <v>29</v>
      </c>
    </row>
    <row r="34" spans="2:15" x14ac:dyDescent="0.3">
      <c r="B34" s="9" t="s">
        <v>28</v>
      </c>
      <c r="C34" s="39"/>
      <c r="D34" s="40">
        <v>6</v>
      </c>
      <c r="E34" s="60" t="s">
        <v>44</v>
      </c>
      <c r="F34" s="68">
        <v>300</v>
      </c>
      <c r="G34" s="69">
        <v>4</v>
      </c>
      <c r="H34" s="62">
        <f t="shared" si="1"/>
        <v>0.66666666666666663</v>
      </c>
      <c r="I34" s="12">
        <f t="shared" si="2"/>
        <v>660</v>
      </c>
      <c r="J34" s="13">
        <f t="shared" si="0"/>
        <v>700</v>
      </c>
      <c r="K34" s="9">
        <f t="shared" si="3"/>
        <v>60</v>
      </c>
      <c r="L34" s="10">
        <f t="shared" si="4"/>
        <v>198</v>
      </c>
      <c r="M34" s="11">
        <f t="shared" si="5"/>
        <v>350</v>
      </c>
      <c r="N34" s="13">
        <f t="shared" si="6"/>
        <v>608</v>
      </c>
      <c r="O34" s="13">
        <f t="shared" si="7"/>
        <v>13</v>
      </c>
    </row>
    <row r="35" spans="2:15" x14ac:dyDescent="0.3">
      <c r="B35" s="49" t="s">
        <v>29</v>
      </c>
      <c r="C35" s="50"/>
      <c r="D35" s="51">
        <v>7</v>
      </c>
      <c r="E35" s="73" t="s">
        <v>45</v>
      </c>
      <c r="F35" s="76">
        <v>200</v>
      </c>
      <c r="G35" s="77">
        <v>4</v>
      </c>
      <c r="H35" s="75">
        <f t="shared" si="1"/>
        <v>0.5714285714285714</v>
      </c>
      <c r="I35" s="52">
        <f t="shared" si="2"/>
        <v>570</v>
      </c>
      <c r="J35" s="53">
        <f t="shared" si="0"/>
        <v>600</v>
      </c>
      <c r="K35" s="49">
        <f t="shared" si="3"/>
        <v>40</v>
      </c>
      <c r="L35" s="54">
        <f t="shared" si="4"/>
        <v>171</v>
      </c>
      <c r="M35" s="55">
        <f t="shared" si="5"/>
        <v>300</v>
      </c>
      <c r="N35" s="53">
        <f t="shared" si="6"/>
        <v>511</v>
      </c>
      <c r="O35" s="53">
        <f t="shared" si="7"/>
        <v>32</v>
      </c>
    </row>
    <row r="36" spans="2:15" x14ac:dyDescent="0.3">
      <c r="B36" s="9" t="s">
        <v>30</v>
      </c>
      <c r="C36" s="39"/>
      <c r="D36" s="40">
        <v>5</v>
      </c>
      <c r="E36" s="60" t="s">
        <v>44</v>
      </c>
      <c r="F36" s="68">
        <v>500</v>
      </c>
      <c r="G36" s="69">
        <v>4</v>
      </c>
      <c r="H36" s="62">
        <f t="shared" si="1"/>
        <v>0.8</v>
      </c>
      <c r="I36" s="12">
        <f t="shared" si="2"/>
        <v>800</v>
      </c>
      <c r="J36" s="13">
        <f t="shared" si="0"/>
        <v>700</v>
      </c>
      <c r="K36" s="9">
        <f t="shared" si="3"/>
        <v>100</v>
      </c>
      <c r="L36" s="10">
        <f t="shared" si="4"/>
        <v>240</v>
      </c>
      <c r="M36" s="11">
        <f t="shared" si="5"/>
        <v>350</v>
      </c>
      <c r="N36" s="13">
        <f t="shared" si="6"/>
        <v>690</v>
      </c>
      <c r="O36" s="13">
        <f t="shared" si="7"/>
        <v>2</v>
      </c>
    </row>
    <row r="37" spans="2:15" x14ac:dyDescent="0.3">
      <c r="B37" s="9" t="s">
        <v>31</v>
      </c>
      <c r="C37" s="39"/>
      <c r="D37" s="40">
        <v>9</v>
      </c>
      <c r="E37" s="60" t="s">
        <v>45</v>
      </c>
      <c r="F37" s="68">
        <v>400</v>
      </c>
      <c r="G37" s="69">
        <v>4</v>
      </c>
      <c r="H37" s="62">
        <f t="shared" si="1"/>
        <v>0.44444444444444442</v>
      </c>
      <c r="I37" s="12">
        <f t="shared" si="2"/>
        <v>440</v>
      </c>
      <c r="J37" s="13">
        <f t="shared" si="0"/>
        <v>600</v>
      </c>
      <c r="K37" s="9">
        <f t="shared" si="3"/>
        <v>80</v>
      </c>
      <c r="L37" s="10">
        <f t="shared" si="4"/>
        <v>132</v>
      </c>
      <c r="M37" s="11">
        <f t="shared" si="5"/>
        <v>300</v>
      </c>
      <c r="N37" s="13">
        <f t="shared" si="6"/>
        <v>512</v>
      </c>
      <c r="O37" s="13">
        <f t="shared" si="7"/>
        <v>29</v>
      </c>
    </row>
    <row r="38" spans="2:15" x14ac:dyDescent="0.3">
      <c r="B38" s="9" t="s">
        <v>32</v>
      </c>
      <c r="C38" s="39"/>
      <c r="D38" s="40">
        <v>6</v>
      </c>
      <c r="E38" s="60" t="s">
        <v>44</v>
      </c>
      <c r="F38" s="68">
        <v>600</v>
      </c>
      <c r="G38" s="69">
        <v>4</v>
      </c>
      <c r="H38" s="62">
        <f t="shared" si="1"/>
        <v>0.66666666666666663</v>
      </c>
      <c r="I38" s="12">
        <f t="shared" si="2"/>
        <v>660</v>
      </c>
      <c r="J38" s="13">
        <f t="shared" si="0"/>
        <v>700</v>
      </c>
      <c r="K38" s="9">
        <f t="shared" si="3"/>
        <v>120</v>
      </c>
      <c r="L38" s="10">
        <f t="shared" si="4"/>
        <v>198</v>
      </c>
      <c r="M38" s="11">
        <f t="shared" si="5"/>
        <v>350</v>
      </c>
      <c r="N38" s="13">
        <f t="shared" si="6"/>
        <v>668</v>
      </c>
      <c r="O38" s="13">
        <f t="shared" si="7"/>
        <v>5</v>
      </c>
    </row>
    <row r="39" spans="2:15" x14ac:dyDescent="0.3">
      <c r="B39" s="9" t="s">
        <v>33</v>
      </c>
      <c r="C39" s="39"/>
      <c r="D39" s="40">
        <v>5</v>
      </c>
      <c r="E39" s="60" t="s">
        <v>45</v>
      </c>
      <c r="F39" s="68">
        <v>200</v>
      </c>
      <c r="G39" s="69">
        <v>4</v>
      </c>
      <c r="H39" s="62">
        <f t="shared" si="1"/>
        <v>0.8</v>
      </c>
      <c r="I39" s="12">
        <f t="shared" si="2"/>
        <v>800</v>
      </c>
      <c r="J39" s="13">
        <f t="shared" si="0"/>
        <v>600</v>
      </c>
      <c r="K39" s="9">
        <f t="shared" si="3"/>
        <v>40</v>
      </c>
      <c r="L39" s="10">
        <f t="shared" si="4"/>
        <v>240</v>
      </c>
      <c r="M39" s="11">
        <f t="shared" si="5"/>
        <v>300</v>
      </c>
      <c r="N39" s="13">
        <f t="shared" si="6"/>
        <v>580</v>
      </c>
      <c r="O39" s="13">
        <f t="shared" si="7"/>
        <v>19</v>
      </c>
    </row>
    <row r="40" spans="2:15" x14ac:dyDescent="0.3">
      <c r="B40" s="49" t="s">
        <v>34</v>
      </c>
      <c r="C40" s="50"/>
      <c r="D40" s="51">
        <v>8</v>
      </c>
      <c r="E40" s="73" t="s">
        <v>44</v>
      </c>
      <c r="F40" s="76">
        <v>400</v>
      </c>
      <c r="G40" s="77">
        <v>4</v>
      </c>
      <c r="H40" s="75">
        <f t="shared" si="1"/>
        <v>0.5</v>
      </c>
      <c r="I40" s="52">
        <f t="shared" si="2"/>
        <v>500</v>
      </c>
      <c r="J40" s="53">
        <f t="shared" si="0"/>
        <v>700</v>
      </c>
      <c r="K40" s="49">
        <f t="shared" si="3"/>
        <v>80</v>
      </c>
      <c r="L40" s="54">
        <f t="shared" si="4"/>
        <v>150</v>
      </c>
      <c r="M40" s="55">
        <f t="shared" si="5"/>
        <v>350</v>
      </c>
      <c r="N40" s="53">
        <f t="shared" si="6"/>
        <v>580</v>
      </c>
      <c r="O40" s="53">
        <f t="shared" si="7"/>
        <v>19</v>
      </c>
    </row>
    <row r="41" spans="2:15" x14ac:dyDescent="0.3">
      <c r="B41" s="9" t="s">
        <v>35</v>
      </c>
      <c r="C41" s="39"/>
      <c r="D41" s="40">
        <v>7</v>
      </c>
      <c r="E41" s="60" t="s">
        <v>45</v>
      </c>
      <c r="F41" s="68">
        <v>300</v>
      </c>
      <c r="G41" s="69">
        <v>4</v>
      </c>
      <c r="H41" s="62">
        <f t="shared" si="1"/>
        <v>0.5714285714285714</v>
      </c>
      <c r="I41" s="12">
        <f t="shared" si="2"/>
        <v>570</v>
      </c>
      <c r="J41" s="13">
        <f t="shared" si="0"/>
        <v>600</v>
      </c>
      <c r="K41" s="9">
        <f t="shared" si="3"/>
        <v>60</v>
      </c>
      <c r="L41" s="10">
        <f t="shared" si="4"/>
        <v>171</v>
      </c>
      <c r="M41" s="11">
        <f t="shared" si="5"/>
        <v>300</v>
      </c>
      <c r="N41" s="13">
        <f t="shared" si="6"/>
        <v>531</v>
      </c>
      <c r="O41" s="13">
        <f t="shared" si="7"/>
        <v>28</v>
      </c>
    </row>
    <row r="42" spans="2:15" ht="12.75" thickBot="1" x14ac:dyDescent="0.35">
      <c r="B42" s="7" t="s">
        <v>36</v>
      </c>
      <c r="C42" s="41"/>
      <c r="D42" s="42">
        <v>5</v>
      </c>
      <c r="E42" s="61" t="s">
        <v>44</v>
      </c>
      <c r="F42" s="70">
        <v>200</v>
      </c>
      <c r="G42" s="71">
        <v>4</v>
      </c>
      <c r="H42" s="63">
        <f t="shared" si="1"/>
        <v>0.8</v>
      </c>
      <c r="I42" s="15">
        <f t="shared" si="2"/>
        <v>800</v>
      </c>
      <c r="J42" s="16">
        <f t="shared" si="0"/>
        <v>700</v>
      </c>
      <c r="K42" s="7">
        <f t="shared" si="3"/>
        <v>40</v>
      </c>
      <c r="L42" s="8">
        <f t="shared" si="4"/>
        <v>240</v>
      </c>
      <c r="M42" s="14">
        <f t="shared" si="5"/>
        <v>350</v>
      </c>
      <c r="N42" s="16">
        <f t="shared" si="6"/>
        <v>630</v>
      </c>
      <c r="O42" s="16">
        <f t="shared" si="7"/>
        <v>10</v>
      </c>
    </row>
    <row r="43" spans="2:15" s="17" customFormat="1" ht="11.25" x14ac:dyDescent="0.3">
      <c r="B43" s="18"/>
      <c r="D43" s="18"/>
      <c r="E43" s="18"/>
      <c r="F43" s="18"/>
      <c r="G43" s="18"/>
      <c r="H43" s="18"/>
    </row>
    <row r="44" spans="2:15" s="17" customFormat="1" ht="11.25" x14ac:dyDescent="0.3">
      <c r="B44" s="18"/>
      <c r="D44" s="18"/>
      <c r="E44" s="18"/>
      <c r="G44" s="18"/>
      <c r="H44" s="18"/>
    </row>
    <row r="45" spans="2:15" s="17" customFormat="1" ht="11.25" x14ac:dyDescent="0.3">
      <c r="B45" s="18"/>
      <c r="D45" s="18"/>
      <c r="E45" s="18"/>
      <c r="G45" s="18"/>
      <c r="H45" s="18"/>
    </row>
    <row r="46" spans="2:15" x14ac:dyDescent="0.3">
      <c r="D46" s="1"/>
      <c r="E46" s="1"/>
    </row>
    <row r="47" spans="2:15" x14ac:dyDescent="0.3">
      <c r="D47" s="1"/>
      <c r="E47" s="1"/>
    </row>
    <row r="48" spans="2:15" x14ac:dyDescent="0.3">
      <c r="D48" s="1"/>
      <c r="E48" s="1"/>
    </row>
    <row r="49" spans="4:5" x14ac:dyDescent="0.3">
      <c r="D49" s="1"/>
      <c r="E49" s="1"/>
    </row>
    <row r="50" spans="4:5" x14ac:dyDescent="0.3">
      <c r="D50" s="1"/>
      <c r="E50" s="1"/>
    </row>
  </sheetData>
  <mergeCells count="1">
    <mergeCell ref="B1:F2"/>
  </mergeCells>
  <phoneticPr fontId="1" type="noConversion"/>
  <conditionalFormatting sqref="O6:O42">
    <cfRule type="cellIs" dxfId="1" priority="1" operator="lessThan">
      <formula>6</formula>
    </cfRule>
  </conditionalFormatting>
  <pageMargins left="0.39370078740157483" right="0.39370078740157483" top="0.39370078740157483" bottom="0.39370078740157483" header="0.31496062992125984" footer="0.31496062992125984"/>
  <pageSetup paperSize="9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4D59-A291-4C85-B049-0366447BB8F4}">
  <sheetPr>
    <tabColor rgb="FFFFFF00"/>
  </sheetPr>
  <dimension ref="B1:O50"/>
  <sheetViews>
    <sheetView showGridLines="0" workbookViewId="0">
      <selection activeCell="B1" sqref="B1:F2"/>
    </sheetView>
  </sheetViews>
  <sheetFormatPr defaultRowHeight="12" x14ac:dyDescent="0.3"/>
  <cols>
    <col min="1" max="1" width="2.625" style="2" customWidth="1"/>
    <col min="2" max="2" width="5.625" style="1" customWidth="1"/>
    <col min="3" max="3" width="8.625" style="2" customWidth="1"/>
    <col min="4" max="4" width="5.625" style="2" customWidth="1"/>
    <col min="5" max="5" width="6.25" style="2" customWidth="1"/>
    <col min="6" max="6" width="10.625" style="2" customWidth="1"/>
    <col min="7" max="8" width="6.625" style="1" customWidth="1"/>
    <col min="9" max="9" width="8.625" style="2" customWidth="1"/>
    <col min="10" max="15" width="10.625" style="2" customWidth="1"/>
    <col min="16" max="18" width="2.625" style="2" customWidth="1"/>
    <col min="19" max="16384" width="9" style="2"/>
  </cols>
  <sheetData>
    <row r="1" spans="2:15" ht="12" customHeight="1" thickBot="1" x14ac:dyDescent="0.35">
      <c r="B1" s="56" t="s">
        <v>59</v>
      </c>
      <c r="C1" s="56"/>
      <c r="D1" s="56"/>
      <c r="E1" s="56"/>
      <c r="F1" s="56"/>
      <c r="G1" s="2"/>
      <c r="I1" s="58" t="s">
        <v>44</v>
      </c>
      <c r="J1" s="59">
        <v>700</v>
      </c>
    </row>
    <row r="2" spans="2:15" s="17" customFormat="1" ht="12" customHeight="1" thickBot="1" x14ac:dyDescent="0.35">
      <c r="B2" s="56"/>
      <c r="C2" s="56"/>
      <c r="D2" s="56"/>
      <c r="E2" s="56"/>
      <c r="F2" s="56"/>
      <c r="H2" s="18"/>
      <c r="I2" s="58" t="s">
        <v>45</v>
      </c>
      <c r="J2" s="59">
        <v>600</v>
      </c>
    </row>
    <row r="3" spans="2:15" x14ac:dyDescent="0.3">
      <c r="C3" s="57" t="s">
        <v>58</v>
      </c>
      <c r="F3" s="57" t="s">
        <v>57</v>
      </c>
      <c r="K3" s="35">
        <v>0.2</v>
      </c>
      <c r="L3" s="35">
        <v>0.3</v>
      </c>
      <c r="M3" s="35">
        <v>0.5</v>
      </c>
    </row>
    <row r="4" spans="2:15" ht="15.95" customHeight="1" x14ac:dyDescent="0.3">
      <c r="B4" s="3" t="s">
        <v>50</v>
      </c>
      <c r="C4" s="4" t="s">
        <v>47</v>
      </c>
      <c r="D4" s="4" t="s">
        <v>46</v>
      </c>
      <c r="E4" s="27" t="s">
        <v>49</v>
      </c>
      <c r="F4" s="21" t="s">
        <v>51</v>
      </c>
      <c r="G4" s="22" t="s">
        <v>41</v>
      </c>
      <c r="H4" s="23"/>
      <c r="I4" s="24"/>
      <c r="J4" s="25" t="s">
        <v>42</v>
      </c>
      <c r="K4" s="29" t="s">
        <v>54</v>
      </c>
      <c r="L4" s="30"/>
      <c r="M4" s="31"/>
      <c r="N4" s="37" t="s">
        <v>53</v>
      </c>
      <c r="O4" s="37" t="s">
        <v>56</v>
      </c>
    </row>
    <row r="5" spans="2:15" ht="15.95" customHeight="1" thickBot="1" x14ac:dyDescent="0.35">
      <c r="B5" s="5"/>
      <c r="C5" s="6" t="s">
        <v>48</v>
      </c>
      <c r="D5" s="6" t="s">
        <v>37</v>
      </c>
      <c r="E5" s="28" t="s">
        <v>43</v>
      </c>
      <c r="F5" s="64" t="s">
        <v>40</v>
      </c>
      <c r="G5" s="65" t="s">
        <v>38</v>
      </c>
      <c r="H5" s="26" t="s">
        <v>39</v>
      </c>
      <c r="I5" s="20" t="s">
        <v>40</v>
      </c>
      <c r="J5" s="19" t="s">
        <v>40</v>
      </c>
      <c r="K5" s="32" t="s">
        <v>51</v>
      </c>
      <c r="L5" s="33" t="s">
        <v>52</v>
      </c>
      <c r="M5" s="34" t="s">
        <v>42</v>
      </c>
      <c r="N5" s="38" t="s">
        <v>55</v>
      </c>
      <c r="O5" s="38"/>
    </row>
    <row r="6" spans="2:15" x14ac:dyDescent="0.3">
      <c r="B6" s="9" t="s">
        <v>0</v>
      </c>
      <c r="C6" s="39"/>
      <c r="D6" s="40">
        <v>6</v>
      </c>
      <c r="E6" s="60" t="s">
        <v>44</v>
      </c>
      <c r="F6" s="66">
        <v>300</v>
      </c>
      <c r="G6" s="67">
        <v>4</v>
      </c>
      <c r="H6" s="62">
        <f>G6/D6</f>
        <v>0.66666666666666663</v>
      </c>
      <c r="I6" s="12">
        <f>LEFT(H6*1000,2)*10</f>
        <v>660</v>
      </c>
      <c r="J6" s="13">
        <f t="shared" ref="J6:J42" si="0">VLOOKUP(E6,$I$1:$J$2,2,0)</f>
        <v>700</v>
      </c>
      <c r="K6" s="9">
        <f>F6*0.2</f>
        <v>60</v>
      </c>
      <c r="L6" s="10">
        <f>I6*0.3</f>
        <v>198</v>
      </c>
      <c r="M6" s="11">
        <f>J6*0.5</f>
        <v>350</v>
      </c>
      <c r="N6" s="36">
        <f>SUM(K6:M6)</f>
        <v>608</v>
      </c>
      <c r="O6" s="36" t="e">
        <f>RANK(N6,$N$6:$N$42)</f>
        <v>#DIV/0!</v>
      </c>
    </row>
    <row r="7" spans="2:15" x14ac:dyDescent="0.3">
      <c r="B7" s="9" t="s">
        <v>1</v>
      </c>
      <c r="C7" s="39"/>
      <c r="D7" s="40">
        <v>5</v>
      </c>
      <c r="E7" s="60" t="s">
        <v>45</v>
      </c>
      <c r="F7" s="68">
        <v>400</v>
      </c>
      <c r="G7" s="69">
        <v>4</v>
      </c>
      <c r="H7" s="62">
        <f t="shared" ref="H7:H42" si="1">G7/D7</f>
        <v>0.8</v>
      </c>
      <c r="I7" s="12">
        <f t="shared" ref="I7:I42" si="2">LEFT(H7*1000,2)*10</f>
        <v>800</v>
      </c>
      <c r="J7" s="13">
        <f t="shared" si="0"/>
        <v>600</v>
      </c>
      <c r="K7" s="9">
        <f t="shared" ref="K7:K42" si="3">F7*0.2</f>
        <v>80</v>
      </c>
      <c r="L7" s="10">
        <f t="shared" ref="L7:L42" si="4">I7*0.3</f>
        <v>240</v>
      </c>
      <c r="M7" s="11">
        <f t="shared" ref="M7:M42" si="5">J7*0.5</f>
        <v>300</v>
      </c>
      <c r="N7" s="13">
        <f t="shared" ref="N7:N42" si="6">SUM(K7:M7)</f>
        <v>620</v>
      </c>
      <c r="O7" s="13" t="e">
        <f t="shared" ref="O7:O42" si="7">RANK(N7,$N$6:$N$42)</f>
        <v>#DIV/0!</v>
      </c>
    </row>
    <row r="8" spans="2:15" x14ac:dyDescent="0.3">
      <c r="B8" s="9" t="s">
        <v>2</v>
      </c>
      <c r="C8" s="39"/>
      <c r="D8" s="40"/>
      <c r="E8" s="60"/>
      <c r="F8" s="68"/>
      <c r="G8" s="69"/>
      <c r="H8" s="62" t="e">
        <f t="shared" si="1"/>
        <v>#DIV/0!</v>
      </c>
      <c r="I8" s="12" t="e">
        <f t="shared" si="2"/>
        <v>#DIV/0!</v>
      </c>
      <c r="J8" s="13" t="e">
        <f t="shared" si="0"/>
        <v>#N/A</v>
      </c>
      <c r="K8" s="9">
        <f t="shared" si="3"/>
        <v>0</v>
      </c>
      <c r="L8" s="10" t="e">
        <f t="shared" si="4"/>
        <v>#DIV/0!</v>
      </c>
      <c r="M8" s="11" t="e">
        <f t="shared" si="5"/>
        <v>#N/A</v>
      </c>
      <c r="N8" s="13" t="e">
        <f t="shared" si="6"/>
        <v>#DIV/0!</v>
      </c>
      <c r="O8" s="13" t="e">
        <f t="shared" si="7"/>
        <v>#DIV/0!</v>
      </c>
    </row>
    <row r="9" spans="2:15" x14ac:dyDescent="0.3">
      <c r="B9" s="9" t="s">
        <v>3</v>
      </c>
      <c r="C9" s="39"/>
      <c r="D9" s="40"/>
      <c r="E9" s="60"/>
      <c r="F9" s="68"/>
      <c r="G9" s="69"/>
      <c r="H9" s="62" t="e">
        <f t="shared" si="1"/>
        <v>#DIV/0!</v>
      </c>
      <c r="I9" s="12" t="e">
        <f t="shared" si="2"/>
        <v>#DIV/0!</v>
      </c>
      <c r="J9" s="13" t="e">
        <f t="shared" si="0"/>
        <v>#N/A</v>
      </c>
      <c r="K9" s="9">
        <f t="shared" si="3"/>
        <v>0</v>
      </c>
      <c r="L9" s="10" t="e">
        <f t="shared" si="4"/>
        <v>#DIV/0!</v>
      </c>
      <c r="M9" s="11" t="e">
        <f t="shared" si="5"/>
        <v>#N/A</v>
      </c>
      <c r="N9" s="13" t="e">
        <f t="shared" si="6"/>
        <v>#DIV/0!</v>
      </c>
      <c r="O9" s="13" t="e">
        <f t="shared" si="7"/>
        <v>#DIV/0!</v>
      </c>
    </row>
    <row r="10" spans="2:15" x14ac:dyDescent="0.3">
      <c r="B10" s="9" t="s">
        <v>4</v>
      </c>
      <c r="C10" s="39"/>
      <c r="D10" s="40"/>
      <c r="E10" s="60"/>
      <c r="F10" s="68"/>
      <c r="G10" s="69"/>
      <c r="H10" s="62" t="e">
        <f t="shared" si="1"/>
        <v>#DIV/0!</v>
      </c>
      <c r="I10" s="12" t="e">
        <f t="shared" si="2"/>
        <v>#DIV/0!</v>
      </c>
      <c r="J10" s="13" t="e">
        <f t="shared" si="0"/>
        <v>#N/A</v>
      </c>
      <c r="K10" s="9">
        <f t="shared" si="3"/>
        <v>0</v>
      </c>
      <c r="L10" s="10" t="e">
        <f t="shared" si="4"/>
        <v>#DIV/0!</v>
      </c>
      <c r="M10" s="11" t="e">
        <f t="shared" si="5"/>
        <v>#N/A</v>
      </c>
      <c r="N10" s="13" t="e">
        <f t="shared" si="6"/>
        <v>#DIV/0!</v>
      </c>
      <c r="O10" s="13" t="e">
        <f t="shared" si="7"/>
        <v>#DIV/0!</v>
      </c>
    </row>
    <row r="11" spans="2:15" x14ac:dyDescent="0.3">
      <c r="B11" s="9" t="s">
        <v>5</v>
      </c>
      <c r="C11" s="39"/>
      <c r="D11" s="40"/>
      <c r="E11" s="60"/>
      <c r="F11" s="68"/>
      <c r="G11" s="69"/>
      <c r="H11" s="62" t="e">
        <f t="shared" si="1"/>
        <v>#DIV/0!</v>
      </c>
      <c r="I11" s="12" t="e">
        <f t="shared" si="2"/>
        <v>#DIV/0!</v>
      </c>
      <c r="J11" s="13" t="e">
        <f t="shared" si="0"/>
        <v>#N/A</v>
      </c>
      <c r="K11" s="9">
        <f t="shared" si="3"/>
        <v>0</v>
      </c>
      <c r="L11" s="10" t="e">
        <f t="shared" si="4"/>
        <v>#DIV/0!</v>
      </c>
      <c r="M11" s="11" t="e">
        <f t="shared" si="5"/>
        <v>#N/A</v>
      </c>
      <c r="N11" s="13" t="e">
        <f t="shared" si="6"/>
        <v>#DIV/0!</v>
      </c>
      <c r="O11" s="13" t="e">
        <f t="shared" si="7"/>
        <v>#DIV/0!</v>
      </c>
    </row>
    <row r="12" spans="2:15" x14ac:dyDescent="0.3">
      <c r="B12" s="9" t="s">
        <v>6</v>
      </c>
      <c r="C12" s="39"/>
      <c r="D12" s="40"/>
      <c r="E12" s="60"/>
      <c r="F12" s="68"/>
      <c r="G12" s="69"/>
      <c r="H12" s="62" t="e">
        <f t="shared" si="1"/>
        <v>#DIV/0!</v>
      </c>
      <c r="I12" s="12" t="e">
        <f t="shared" si="2"/>
        <v>#DIV/0!</v>
      </c>
      <c r="J12" s="13" t="e">
        <f t="shared" si="0"/>
        <v>#N/A</v>
      </c>
      <c r="K12" s="9">
        <f t="shared" si="3"/>
        <v>0</v>
      </c>
      <c r="L12" s="10" t="e">
        <f t="shared" si="4"/>
        <v>#DIV/0!</v>
      </c>
      <c r="M12" s="11" t="e">
        <f t="shared" si="5"/>
        <v>#N/A</v>
      </c>
      <c r="N12" s="13" t="e">
        <f t="shared" si="6"/>
        <v>#DIV/0!</v>
      </c>
      <c r="O12" s="13" t="e">
        <f t="shared" si="7"/>
        <v>#DIV/0!</v>
      </c>
    </row>
    <row r="13" spans="2:15" x14ac:dyDescent="0.3">
      <c r="B13" s="9" t="s">
        <v>7</v>
      </c>
      <c r="C13" s="39"/>
      <c r="D13" s="40"/>
      <c r="E13" s="60"/>
      <c r="F13" s="68"/>
      <c r="G13" s="69"/>
      <c r="H13" s="62" t="e">
        <f t="shared" si="1"/>
        <v>#DIV/0!</v>
      </c>
      <c r="I13" s="12" t="e">
        <f t="shared" si="2"/>
        <v>#DIV/0!</v>
      </c>
      <c r="J13" s="13" t="e">
        <f t="shared" si="0"/>
        <v>#N/A</v>
      </c>
      <c r="K13" s="9">
        <f t="shared" si="3"/>
        <v>0</v>
      </c>
      <c r="L13" s="10" t="e">
        <f t="shared" si="4"/>
        <v>#DIV/0!</v>
      </c>
      <c r="M13" s="11" t="e">
        <f t="shared" si="5"/>
        <v>#N/A</v>
      </c>
      <c r="N13" s="13" t="e">
        <f t="shared" si="6"/>
        <v>#DIV/0!</v>
      </c>
      <c r="O13" s="13" t="e">
        <f t="shared" si="7"/>
        <v>#DIV/0!</v>
      </c>
    </row>
    <row r="14" spans="2:15" x14ac:dyDescent="0.3">
      <c r="B14" s="9" t="s">
        <v>8</v>
      </c>
      <c r="C14" s="39"/>
      <c r="D14" s="40"/>
      <c r="E14" s="60"/>
      <c r="F14" s="68"/>
      <c r="G14" s="69"/>
      <c r="H14" s="62" t="e">
        <f t="shared" si="1"/>
        <v>#DIV/0!</v>
      </c>
      <c r="I14" s="12" t="e">
        <f t="shared" si="2"/>
        <v>#DIV/0!</v>
      </c>
      <c r="J14" s="13" t="e">
        <f t="shared" si="0"/>
        <v>#N/A</v>
      </c>
      <c r="K14" s="9">
        <f t="shared" si="3"/>
        <v>0</v>
      </c>
      <c r="L14" s="10" t="e">
        <f t="shared" si="4"/>
        <v>#DIV/0!</v>
      </c>
      <c r="M14" s="11" t="e">
        <f t="shared" si="5"/>
        <v>#N/A</v>
      </c>
      <c r="N14" s="13" t="e">
        <f t="shared" si="6"/>
        <v>#DIV/0!</v>
      </c>
      <c r="O14" s="13" t="e">
        <f t="shared" si="7"/>
        <v>#DIV/0!</v>
      </c>
    </row>
    <row r="15" spans="2:15" x14ac:dyDescent="0.3">
      <c r="B15" s="9" t="s">
        <v>9</v>
      </c>
      <c r="C15" s="39"/>
      <c r="D15" s="40"/>
      <c r="E15" s="60"/>
      <c r="F15" s="68"/>
      <c r="G15" s="69"/>
      <c r="H15" s="62" t="e">
        <f t="shared" si="1"/>
        <v>#DIV/0!</v>
      </c>
      <c r="I15" s="12" t="e">
        <f t="shared" si="2"/>
        <v>#DIV/0!</v>
      </c>
      <c r="J15" s="13" t="e">
        <f t="shared" si="0"/>
        <v>#N/A</v>
      </c>
      <c r="K15" s="9">
        <f t="shared" si="3"/>
        <v>0</v>
      </c>
      <c r="L15" s="10" t="e">
        <f t="shared" si="4"/>
        <v>#DIV/0!</v>
      </c>
      <c r="M15" s="11" t="e">
        <f t="shared" si="5"/>
        <v>#N/A</v>
      </c>
      <c r="N15" s="13" t="e">
        <f t="shared" si="6"/>
        <v>#DIV/0!</v>
      </c>
      <c r="O15" s="13" t="e">
        <f t="shared" si="7"/>
        <v>#DIV/0!</v>
      </c>
    </row>
    <row r="16" spans="2:15" x14ac:dyDescent="0.3">
      <c r="B16" s="9" t="s">
        <v>10</v>
      </c>
      <c r="C16" s="39"/>
      <c r="D16" s="40"/>
      <c r="E16" s="60"/>
      <c r="F16" s="68"/>
      <c r="G16" s="69"/>
      <c r="H16" s="62" t="e">
        <f t="shared" si="1"/>
        <v>#DIV/0!</v>
      </c>
      <c r="I16" s="12" t="e">
        <f t="shared" si="2"/>
        <v>#DIV/0!</v>
      </c>
      <c r="J16" s="13" t="e">
        <f t="shared" si="0"/>
        <v>#N/A</v>
      </c>
      <c r="K16" s="9">
        <f t="shared" si="3"/>
        <v>0</v>
      </c>
      <c r="L16" s="10" t="e">
        <f t="shared" si="4"/>
        <v>#DIV/0!</v>
      </c>
      <c r="M16" s="11" t="e">
        <f t="shared" si="5"/>
        <v>#N/A</v>
      </c>
      <c r="N16" s="13" t="e">
        <f t="shared" si="6"/>
        <v>#DIV/0!</v>
      </c>
      <c r="O16" s="13" t="e">
        <f t="shared" si="7"/>
        <v>#DIV/0!</v>
      </c>
    </row>
    <row r="17" spans="2:15" x14ac:dyDescent="0.3">
      <c r="B17" s="9" t="s">
        <v>11</v>
      </c>
      <c r="C17" s="39"/>
      <c r="D17" s="40"/>
      <c r="E17" s="60"/>
      <c r="F17" s="68"/>
      <c r="G17" s="69"/>
      <c r="H17" s="62" t="e">
        <f t="shared" si="1"/>
        <v>#DIV/0!</v>
      </c>
      <c r="I17" s="12" t="e">
        <f t="shared" si="2"/>
        <v>#DIV/0!</v>
      </c>
      <c r="J17" s="13" t="e">
        <f t="shared" si="0"/>
        <v>#N/A</v>
      </c>
      <c r="K17" s="9">
        <f t="shared" si="3"/>
        <v>0</v>
      </c>
      <c r="L17" s="10" t="e">
        <f t="shared" si="4"/>
        <v>#DIV/0!</v>
      </c>
      <c r="M17" s="11" t="e">
        <f t="shared" si="5"/>
        <v>#N/A</v>
      </c>
      <c r="N17" s="13" t="e">
        <f t="shared" si="6"/>
        <v>#DIV/0!</v>
      </c>
      <c r="O17" s="13" t="e">
        <f t="shared" si="7"/>
        <v>#DIV/0!</v>
      </c>
    </row>
    <row r="18" spans="2:15" x14ac:dyDescent="0.3">
      <c r="B18" s="9" t="s">
        <v>12</v>
      </c>
      <c r="C18" s="39"/>
      <c r="D18" s="40"/>
      <c r="E18" s="60"/>
      <c r="F18" s="68"/>
      <c r="G18" s="69"/>
      <c r="H18" s="62" t="e">
        <f t="shared" si="1"/>
        <v>#DIV/0!</v>
      </c>
      <c r="I18" s="12" t="e">
        <f t="shared" si="2"/>
        <v>#DIV/0!</v>
      </c>
      <c r="J18" s="13" t="e">
        <f t="shared" si="0"/>
        <v>#N/A</v>
      </c>
      <c r="K18" s="9">
        <f t="shared" si="3"/>
        <v>0</v>
      </c>
      <c r="L18" s="10" t="e">
        <f t="shared" si="4"/>
        <v>#DIV/0!</v>
      </c>
      <c r="M18" s="11" t="e">
        <f t="shared" si="5"/>
        <v>#N/A</v>
      </c>
      <c r="N18" s="13" t="e">
        <f t="shared" si="6"/>
        <v>#DIV/0!</v>
      </c>
      <c r="O18" s="13" t="e">
        <f t="shared" si="7"/>
        <v>#DIV/0!</v>
      </c>
    </row>
    <row r="19" spans="2:15" x14ac:dyDescent="0.3">
      <c r="B19" s="9" t="s">
        <v>13</v>
      </c>
      <c r="C19" s="39"/>
      <c r="D19" s="40"/>
      <c r="E19" s="60"/>
      <c r="F19" s="68"/>
      <c r="G19" s="69"/>
      <c r="H19" s="62" t="e">
        <f t="shared" si="1"/>
        <v>#DIV/0!</v>
      </c>
      <c r="I19" s="12" t="e">
        <f t="shared" si="2"/>
        <v>#DIV/0!</v>
      </c>
      <c r="J19" s="13" t="e">
        <f t="shared" si="0"/>
        <v>#N/A</v>
      </c>
      <c r="K19" s="9">
        <f t="shared" si="3"/>
        <v>0</v>
      </c>
      <c r="L19" s="10" t="e">
        <f t="shared" si="4"/>
        <v>#DIV/0!</v>
      </c>
      <c r="M19" s="11" t="e">
        <f t="shared" si="5"/>
        <v>#N/A</v>
      </c>
      <c r="N19" s="13" t="e">
        <f t="shared" si="6"/>
        <v>#DIV/0!</v>
      </c>
      <c r="O19" s="13" t="e">
        <f t="shared" si="7"/>
        <v>#DIV/0!</v>
      </c>
    </row>
    <row r="20" spans="2:15" x14ac:dyDescent="0.3">
      <c r="B20" s="9" t="s">
        <v>14</v>
      </c>
      <c r="C20" s="39"/>
      <c r="D20" s="40"/>
      <c r="E20" s="60"/>
      <c r="F20" s="68"/>
      <c r="G20" s="69"/>
      <c r="H20" s="62" t="e">
        <f t="shared" si="1"/>
        <v>#DIV/0!</v>
      </c>
      <c r="I20" s="12" t="e">
        <f t="shared" si="2"/>
        <v>#DIV/0!</v>
      </c>
      <c r="J20" s="13" t="e">
        <f t="shared" si="0"/>
        <v>#N/A</v>
      </c>
      <c r="K20" s="9">
        <f t="shared" si="3"/>
        <v>0</v>
      </c>
      <c r="L20" s="10" t="e">
        <f t="shared" si="4"/>
        <v>#DIV/0!</v>
      </c>
      <c r="M20" s="11" t="e">
        <f t="shared" si="5"/>
        <v>#N/A</v>
      </c>
      <c r="N20" s="13" t="e">
        <f t="shared" si="6"/>
        <v>#DIV/0!</v>
      </c>
      <c r="O20" s="13" t="e">
        <f t="shared" si="7"/>
        <v>#DIV/0!</v>
      </c>
    </row>
    <row r="21" spans="2:15" x14ac:dyDescent="0.3">
      <c r="B21" s="9" t="s">
        <v>15</v>
      </c>
      <c r="C21" s="39"/>
      <c r="D21" s="40"/>
      <c r="E21" s="60"/>
      <c r="F21" s="68"/>
      <c r="G21" s="69"/>
      <c r="H21" s="62" t="e">
        <f t="shared" si="1"/>
        <v>#DIV/0!</v>
      </c>
      <c r="I21" s="12" t="e">
        <f t="shared" si="2"/>
        <v>#DIV/0!</v>
      </c>
      <c r="J21" s="13" t="e">
        <f t="shared" si="0"/>
        <v>#N/A</v>
      </c>
      <c r="K21" s="9">
        <f t="shared" si="3"/>
        <v>0</v>
      </c>
      <c r="L21" s="10" t="e">
        <f t="shared" si="4"/>
        <v>#DIV/0!</v>
      </c>
      <c r="M21" s="11" t="e">
        <f t="shared" si="5"/>
        <v>#N/A</v>
      </c>
      <c r="N21" s="13" t="e">
        <f t="shared" si="6"/>
        <v>#DIV/0!</v>
      </c>
      <c r="O21" s="13" t="e">
        <f t="shared" si="7"/>
        <v>#DIV/0!</v>
      </c>
    </row>
    <row r="22" spans="2:15" x14ac:dyDescent="0.3">
      <c r="B22" s="9" t="s">
        <v>16</v>
      </c>
      <c r="C22" s="39"/>
      <c r="D22" s="40"/>
      <c r="E22" s="60"/>
      <c r="F22" s="68"/>
      <c r="G22" s="69"/>
      <c r="H22" s="62" t="e">
        <f t="shared" si="1"/>
        <v>#DIV/0!</v>
      </c>
      <c r="I22" s="12" t="e">
        <f t="shared" si="2"/>
        <v>#DIV/0!</v>
      </c>
      <c r="J22" s="13" t="e">
        <f t="shared" si="0"/>
        <v>#N/A</v>
      </c>
      <c r="K22" s="9">
        <f t="shared" si="3"/>
        <v>0</v>
      </c>
      <c r="L22" s="10" t="e">
        <f t="shared" si="4"/>
        <v>#DIV/0!</v>
      </c>
      <c r="M22" s="11" t="e">
        <f t="shared" si="5"/>
        <v>#N/A</v>
      </c>
      <c r="N22" s="13" t="e">
        <f t="shared" si="6"/>
        <v>#DIV/0!</v>
      </c>
      <c r="O22" s="13" t="e">
        <f t="shared" si="7"/>
        <v>#DIV/0!</v>
      </c>
    </row>
    <row r="23" spans="2:15" x14ac:dyDescent="0.3">
      <c r="B23" s="9" t="s">
        <v>17</v>
      </c>
      <c r="C23" s="39"/>
      <c r="D23" s="40"/>
      <c r="E23" s="60"/>
      <c r="F23" s="68"/>
      <c r="G23" s="69"/>
      <c r="H23" s="62" t="e">
        <f t="shared" si="1"/>
        <v>#DIV/0!</v>
      </c>
      <c r="I23" s="12" t="e">
        <f t="shared" si="2"/>
        <v>#DIV/0!</v>
      </c>
      <c r="J23" s="13" t="e">
        <f t="shared" si="0"/>
        <v>#N/A</v>
      </c>
      <c r="K23" s="9">
        <f t="shared" si="3"/>
        <v>0</v>
      </c>
      <c r="L23" s="10" t="e">
        <f t="shared" si="4"/>
        <v>#DIV/0!</v>
      </c>
      <c r="M23" s="11" t="e">
        <f t="shared" si="5"/>
        <v>#N/A</v>
      </c>
      <c r="N23" s="13" t="e">
        <f t="shared" si="6"/>
        <v>#DIV/0!</v>
      </c>
      <c r="O23" s="13" t="e">
        <f t="shared" si="7"/>
        <v>#DIV/0!</v>
      </c>
    </row>
    <row r="24" spans="2:15" x14ac:dyDescent="0.3">
      <c r="B24" s="9" t="s">
        <v>18</v>
      </c>
      <c r="C24" s="39"/>
      <c r="D24" s="40"/>
      <c r="E24" s="60"/>
      <c r="F24" s="68"/>
      <c r="G24" s="69"/>
      <c r="H24" s="62" t="e">
        <f t="shared" si="1"/>
        <v>#DIV/0!</v>
      </c>
      <c r="I24" s="12" t="e">
        <f t="shared" si="2"/>
        <v>#DIV/0!</v>
      </c>
      <c r="J24" s="13" t="e">
        <f t="shared" si="0"/>
        <v>#N/A</v>
      </c>
      <c r="K24" s="9">
        <f t="shared" si="3"/>
        <v>0</v>
      </c>
      <c r="L24" s="10" t="e">
        <f t="shared" si="4"/>
        <v>#DIV/0!</v>
      </c>
      <c r="M24" s="11" t="e">
        <f t="shared" si="5"/>
        <v>#N/A</v>
      </c>
      <c r="N24" s="13" t="e">
        <f t="shared" si="6"/>
        <v>#DIV/0!</v>
      </c>
      <c r="O24" s="13" t="e">
        <f t="shared" si="7"/>
        <v>#DIV/0!</v>
      </c>
    </row>
    <row r="25" spans="2:15" x14ac:dyDescent="0.3">
      <c r="B25" s="9" t="s">
        <v>19</v>
      </c>
      <c r="C25" s="39"/>
      <c r="D25" s="40"/>
      <c r="E25" s="60"/>
      <c r="F25" s="68"/>
      <c r="G25" s="69"/>
      <c r="H25" s="62" t="e">
        <f t="shared" si="1"/>
        <v>#DIV/0!</v>
      </c>
      <c r="I25" s="12" t="e">
        <f t="shared" si="2"/>
        <v>#DIV/0!</v>
      </c>
      <c r="J25" s="13" t="e">
        <f t="shared" si="0"/>
        <v>#N/A</v>
      </c>
      <c r="K25" s="9">
        <f t="shared" si="3"/>
        <v>0</v>
      </c>
      <c r="L25" s="10" t="e">
        <f t="shared" si="4"/>
        <v>#DIV/0!</v>
      </c>
      <c r="M25" s="11" t="e">
        <f t="shared" si="5"/>
        <v>#N/A</v>
      </c>
      <c r="N25" s="13" t="e">
        <f t="shared" si="6"/>
        <v>#DIV/0!</v>
      </c>
      <c r="O25" s="13" t="e">
        <f t="shared" si="7"/>
        <v>#DIV/0!</v>
      </c>
    </row>
    <row r="26" spans="2:15" x14ac:dyDescent="0.3">
      <c r="B26" s="9" t="s">
        <v>20</v>
      </c>
      <c r="C26" s="39"/>
      <c r="D26" s="40"/>
      <c r="E26" s="60"/>
      <c r="F26" s="68"/>
      <c r="G26" s="69"/>
      <c r="H26" s="62" t="e">
        <f t="shared" si="1"/>
        <v>#DIV/0!</v>
      </c>
      <c r="I26" s="12" t="e">
        <f t="shared" si="2"/>
        <v>#DIV/0!</v>
      </c>
      <c r="J26" s="13" t="e">
        <f t="shared" si="0"/>
        <v>#N/A</v>
      </c>
      <c r="K26" s="9">
        <f t="shared" si="3"/>
        <v>0</v>
      </c>
      <c r="L26" s="10" t="e">
        <f t="shared" si="4"/>
        <v>#DIV/0!</v>
      </c>
      <c r="M26" s="11" t="e">
        <f t="shared" si="5"/>
        <v>#N/A</v>
      </c>
      <c r="N26" s="13" t="e">
        <f t="shared" si="6"/>
        <v>#DIV/0!</v>
      </c>
      <c r="O26" s="13" t="e">
        <f t="shared" si="7"/>
        <v>#DIV/0!</v>
      </c>
    </row>
    <row r="27" spans="2:15" x14ac:dyDescent="0.3">
      <c r="B27" s="9" t="s">
        <v>21</v>
      </c>
      <c r="C27" s="39"/>
      <c r="D27" s="40"/>
      <c r="E27" s="60"/>
      <c r="F27" s="68"/>
      <c r="G27" s="69"/>
      <c r="H27" s="62" t="e">
        <f t="shared" si="1"/>
        <v>#DIV/0!</v>
      </c>
      <c r="I27" s="12" t="e">
        <f t="shared" si="2"/>
        <v>#DIV/0!</v>
      </c>
      <c r="J27" s="13" t="e">
        <f t="shared" si="0"/>
        <v>#N/A</v>
      </c>
      <c r="K27" s="9">
        <f t="shared" si="3"/>
        <v>0</v>
      </c>
      <c r="L27" s="10" t="e">
        <f t="shared" si="4"/>
        <v>#DIV/0!</v>
      </c>
      <c r="M27" s="11" t="e">
        <f t="shared" si="5"/>
        <v>#N/A</v>
      </c>
      <c r="N27" s="13" t="e">
        <f t="shared" si="6"/>
        <v>#DIV/0!</v>
      </c>
      <c r="O27" s="13" t="e">
        <f t="shared" si="7"/>
        <v>#DIV/0!</v>
      </c>
    </row>
    <row r="28" spans="2:15" x14ac:dyDescent="0.3">
      <c r="B28" s="9" t="s">
        <v>22</v>
      </c>
      <c r="C28" s="39"/>
      <c r="D28" s="40"/>
      <c r="E28" s="60"/>
      <c r="F28" s="68"/>
      <c r="G28" s="69"/>
      <c r="H28" s="62" t="e">
        <f t="shared" si="1"/>
        <v>#DIV/0!</v>
      </c>
      <c r="I28" s="12" t="e">
        <f t="shared" si="2"/>
        <v>#DIV/0!</v>
      </c>
      <c r="J28" s="13" t="e">
        <f t="shared" si="0"/>
        <v>#N/A</v>
      </c>
      <c r="K28" s="9">
        <f t="shared" si="3"/>
        <v>0</v>
      </c>
      <c r="L28" s="10" t="e">
        <f t="shared" si="4"/>
        <v>#DIV/0!</v>
      </c>
      <c r="M28" s="11" t="e">
        <f t="shared" si="5"/>
        <v>#N/A</v>
      </c>
      <c r="N28" s="13" t="e">
        <f t="shared" si="6"/>
        <v>#DIV/0!</v>
      </c>
      <c r="O28" s="13" t="e">
        <f t="shared" si="7"/>
        <v>#DIV/0!</v>
      </c>
    </row>
    <row r="29" spans="2:15" x14ac:dyDescent="0.3">
      <c r="B29" s="9" t="s">
        <v>23</v>
      </c>
      <c r="C29" s="39"/>
      <c r="D29" s="40"/>
      <c r="E29" s="60"/>
      <c r="F29" s="68"/>
      <c r="G29" s="69"/>
      <c r="H29" s="62" t="e">
        <f t="shared" si="1"/>
        <v>#DIV/0!</v>
      </c>
      <c r="I29" s="12" t="e">
        <f t="shared" si="2"/>
        <v>#DIV/0!</v>
      </c>
      <c r="J29" s="13" t="e">
        <f t="shared" si="0"/>
        <v>#N/A</v>
      </c>
      <c r="K29" s="9">
        <f t="shared" si="3"/>
        <v>0</v>
      </c>
      <c r="L29" s="10" t="e">
        <f t="shared" si="4"/>
        <v>#DIV/0!</v>
      </c>
      <c r="M29" s="11" t="e">
        <f t="shared" si="5"/>
        <v>#N/A</v>
      </c>
      <c r="N29" s="13" t="e">
        <f t="shared" si="6"/>
        <v>#DIV/0!</v>
      </c>
      <c r="O29" s="13" t="e">
        <f t="shared" si="7"/>
        <v>#DIV/0!</v>
      </c>
    </row>
    <row r="30" spans="2:15" x14ac:dyDescent="0.3">
      <c r="B30" s="9" t="s">
        <v>24</v>
      </c>
      <c r="C30" s="39"/>
      <c r="D30" s="40"/>
      <c r="E30" s="60"/>
      <c r="F30" s="68"/>
      <c r="G30" s="69"/>
      <c r="H30" s="62" t="e">
        <f t="shared" si="1"/>
        <v>#DIV/0!</v>
      </c>
      <c r="I30" s="12" t="e">
        <f t="shared" si="2"/>
        <v>#DIV/0!</v>
      </c>
      <c r="J30" s="13" t="e">
        <f t="shared" si="0"/>
        <v>#N/A</v>
      </c>
      <c r="K30" s="9">
        <f t="shared" si="3"/>
        <v>0</v>
      </c>
      <c r="L30" s="10" t="e">
        <f t="shared" si="4"/>
        <v>#DIV/0!</v>
      </c>
      <c r="M30" s="11" t="e">
        <f t="shared" si="5"/>
        <v>#N/A</v>
      </c>
      <c r="N30" s="13" t="e">
        <f t="shared" si="6"/>
        <v>#DIV/0!</v>
      </c>
      <c r="O30" s="13" t="e">
        <f t="shared" si="7"/>
        <v>#DIV/0!</v>
      </c>
    </row>
    <row r="31" spans="2:15" x14ac:dyDescent="0.3">
      <c r="B31" s="9" t="s">
        <v>25</v>
      </c>
      <c r="C31" s="39"/>
      <c r="D31" s="40"/>
      <c r="E31" s="60"/>
      <c r="F31" s="68"/>
      <c r="G31" s="69"/>
      <c r="H31" s="62" t="e">
        <f t="shared" si="1"/>
        <v>#DIV/0!</v>
      </c>
      <c r="I31" s="12" t="e">
        <f t="shared" si="2"/>
        <v>#DIV/0!</v>
      </c>
      <c r="J31" s="13" t="e">
        <f t="shared" si="0"/>
        <v>#N/A</v>
      </c>
      <c r="K31" s="9">
        <f t="shared" si="3"/>
        <v>0</v>
      </c>
      <c r="L31" s="10" t="e">
        <f t="shared" si="4"/>
        <v>#DIV/0!</v>
      </c>
      <c r="M31" s="11" t="e">
        <f t="shared" si="5"/>
        <v>#N/A</v>
      </c>
      <c r="N31" s="13" t="e">
        <f t="shared" si="6"/>
        <v>#DIV/0!</v>
      </c>
      <c r="O31" s="13" t="e">
        <f t="shared" si="7"/>
        <v>#DIV/0!</v>
      </c>
    </row>
    <row r="32" spans="2:15" x14ac:dyDescent="0.3">
      <c r="B32" s="9" t="s">
        <v>26</v>
      </c>
      <c r="C32" s="39"/>
      <c r="D32" s="40"/>
      <c r="E32" s="60"/>
      <c r="F32" s="68"/>
      <c r="G32" s="69"/>
      <c r="H32" s="62" t="e">
        <f t="shared" si="1"/>
        <v>#DIV/0!</v>
      </c>
      <c r="I32" s="12" t="e">
        <f t="shared" si="2"/>
        <v>#DIV/0!</v>
      </c>
      <c r="J32" s="13" t="e">
        <f t="shared" si="0"/>
        <v>#N/A</v>
      </c>
      <c r="K32" s="9">
        <f t="shared" si="3"/>
        <v>0</v>
      </c>
      <c r="L32" s="10" t="e">
        <f t="shared" si="4"/>
        <v>#DIV/0!</v>
      </c>
      <c r="M32" s="11" t="e">
        <f t="shared" si="5"/>
        <v>#N/A</v>
      </c>
      <c r="N32" s="13" t="e">
        <f t="shared" si="6"/>
        <v>#DIV/0!</v>
      </c>
      <c r="O32" s="13" t="e">
        <f t="shared" si="7"/>
        <v>#DIV/0!</v>
      </c>
    </row>
    <row r="33" spans="2:15" x14ac:dyDescent="0.3">
      <c r="B33" s="9" t="s">
        <v>27</v>
      </c>
      <c r="C33" s="39"/>
      <c r="D33" s="40"/>
      <c r="E33" s="60"/>
      <c r="F33" s="68"/>
      <c r="G33" s="69"/>
      <c r="H33" s="62" t="e">
        <f t="shared" si="1"/>
        <v>#DIV/0!</v>
      </c>
      <c r="I33" s="12" t="e">
        <f t="shared" si="2"/>
        <v>#DIV/0!</v>
      </c>
      <c r="J33" s="13" t="e">
        <f t="shared" si="0"/>
        <v>#N/A</v>
      </c>
      <c r="K33" s="9">
        <f t="shared" si="3"/>
        <v>0</v>
      </c>
      <c r="L33" s="10" t="e">
        <f t="shared" si="4"/>
        <v>#DIV/0!</v>
      </c>
      <c r="M33" s="11" t="e">
        <f t="shared" si="5"/>
        <v>#N/A</v>
      </c>
      <c r="N33" s="13" t="e">
        <f t="shared" si="6"/>
        <v>#DIV/0!</v>
      </c>
      <c r="O33" s="13" t="e">
        <f t="shared" si="7"/>
        <v>#DIV/0!</v>
      </c>
    </row>
    <row r="34" spans="2:15" x14ac:dyDescent="0.3">
      <c r="B34" s="9" t="s">
        <v>28</v>
      </c>
      <c r="C34" s="39"/>
      <c r="D34" s="40"/>
      <c r="E34" s="60"/>
      <c r="F34" s="68"/>
      <c r="G34" s="69"/>
      <c r="H34" s="62" t="e">
        <f t="shared" si="1"/>
        <v>#DIV/0!</v>
      </c>
      <c r="I34" s="12" t="e">
        <f t="shared" si="2"/>
        <v>#DIV/0!</v>
      </c>
      <c r="J34" s="13" t="e">
        <f t="shared" si="0"/>
        <v>#N/A</v>
      </c>
      <c r="K34" s="9">
        <f t="shared" si="3"/>
        <v>0</v>
      </c>
      <c r="L34" s="10" t="e">
        <f t="shared" si="4"/>
        <v>#DIV/0!</v>
      </c>
      <c r="M34" s="11" t="e">
        <f t="shared" si="5"/>
        <v>#N/A</v>
      </c>
      <c r="N34" s="13" t="e">
        <f t="shared" si="6"/>
        <v>#DIV/0!</v>
      </c>
      <c r="O34" s="13" t="e">
        <f t="shared" si="7"/>
        <v>#DIV/0!</v>
      </c>
    </row>
    <row r="35" spans="2:15" x14ac:dyDescent="0.3">
      <c r="B35" s="9" t="s">
        <v>29</v>
      </c>
      <c r="C35" s="39"/>
      <c r="D35" s="40"/>
      <c r="E35" s="60"/>
      <c r="F35" s="68"/>
      <c r="G35" s="69"/>
      <c r="H35" s="62" t="e">
        <f t="shared" si="1"/>
        <v>#DIV/0!</v>
      </c>
      <c r="I35" s="12" t="e">
        <f t="shared" si="2"/>
        <v>#DIV/0!</v>
      </c>
      <c r="J35" s="13" t="e">
        <f t="shared" si="0"/>
        <v>#N/A</v>
      </c>
      <c r="K35" s="9">
        <f t="shared" si="3"/>
        <v>0</v>
      </c>
      <c r="L35" s="10" t="e">
        <f t="shared" si="4"/>
        <v>#DIV/0!</v>
      </c>
      <c r="M35" s="11" t="e">
        <f t="shared" si="5"/>
        <v>#N/A</v>
      </c>
      <c r="N35" s="13" t="e">
        <f t="shared" si="6"/>
        <v>#DIV/0!</v>
      </c>
      <c r="O35" s="13" t="e">
        <f t="shared" si="7"/>
        <v>#DIV/0!</v>
      </c>
    </row>
    <row r="36" spans="2:15" x14ac:dyDescent="0.3">
      <c r="B36" s="9" t="s">
        <v>30</v>
      </c>
      <c r="C36" s="39"/>
      <c r="D36" s="40"/>
      <c r="E36" s="60"/>
      <c r="F36" s="68"/>
      <c r="G36" s="69"/>
      <c r="H36" s="62" t="e">
        <f t="shared" si="1"/>
        <v>#DIV/0!</v>
      </c>
      <c r="I36" s="12" t="e">
        <f t="shared" si="2"/>
        <v>#DIV/0!</v>
      </c>
      <c r="J36" s="13" t="e">
        <f t="shared" si="0"/>
        <v>#N/A</v>
      </c>
      <c r="K36" s="9">
        <f t="shared" si="3"/>
        <v>0</v>
      </c>
      <c r="L36" s="10" t="e">
        <f t="shared" si="4"/>
        <v>#DIV/0!</v>
      </c>
      <c r="M36" s="11" t="e">
        <f t="shared" si="5"/>
        <v>#N/A</v>
      </c>
      <c r="N36" s="13" t="e">
        <f t="shared" si="6"/>
        <v>#DIV/0!</v>
      </c>
      <c r="O36" s="13" t="e">
        <f t="shared" si="7"/>
        <v>#DIV/0!</v>
      </c>
    </row>
    <row r="37" spans="2:15" x14ac:dyDescent="0.3">
      <c r="B37" s="9" t="s">
        <v>31</v>
      </c>
      <c r="C37" s="39"/>
      <c r="D37" s="40"/>
      <c r="E37" s="60"/>
      <c r="F37" s="68"/>
      <c r="G37" s="69"/>
      <c r="H37" s="62" t="e">
        <f t="shared" si="1"/>
        <v>#DIV/0!</v>
      </c>
      <c r="I37" s="12" t="e">
        <f t="shared" si="2"/>
        <v>#DIV/0!</v>
      </c>
      <c r="J37" s="13" t="e">
        <f t="shared" si="0"/>
        <v>#N/A</v>
      </c>
      <c r="K37" s="9">
        <f t="shared" si="3"/>
        <v>0</v>
      </c>
      <c r="L37" s="10" t="e">
        <f t="shared" si="4"/>
        <v>#DIV/0!</v>
      </c>
      <c r="M37" s="11" t="e">
        <f t="shared" si="5"/>
        <v>#N/A</v>
      </c>
      <c r="N37" s="13" t="e">
        <f t="shared" si="6"/>
        <v>#DIV/0!</v>
      </c>
      <c r="O37" s="13" t="e">
        <f t="shared" si="7"/>
        <v>#DIV/0!</v>
      </c>
    </row>
    <row r="38" spans="2:15" x14ac:dyDescent="0.3">
      <c r="B38" s="9" t="s">
        <v>32</v>
      </c>
      <c r="C38" s="39"/>
      <c r="D38" s="40"/>
      <c r="E38" s="60"/>
      <c r="F38" s="68"/>
      <c r="G38" s="69"/>
      <c r="H38" s="62" t="e">
        <f t="shared" si="1"/>
        <v>#DIV/0!</v>
      </c>
      <c r="I38" s="12" t="e">
        <f t="shared" si="2"/>
        <v>#DIV/0!</v>
      </c>
      <c r="J38" s="13" t="e">
        <f t="shared" si="0"/>
        <v>#N/A</v>
      </c>
      <c r="K38" s="9">
        <f t="shared" si="3"/>
        <v>0</v>
      </c>
      <c r="L38" s="10" t="e">
        <f t="shared" si="4"/>
        <v>#DIV/0!</v>
      </c>
      <c r="M38" s="11" t="e">
        <f t="shared" si="5"/>
        <v>#N/A</v>
      </c>
      <c r="N38" s="13" t="e">
        <f t="shared" si="6"/>
        <v>#DIV/0!</v>
      </c>
      <c r="O38" s="13" t="e">
        <f t="shared" si="7"/>
        <v>#DIV/0!</v>
      </c>
    </row>
    <row r="39" spans="2:15" x14ac:dyDescent="0.3">
      <c r="B39" s="9" t="s">
        <v>33</v>
      </c>
      <c r="C39" s="39"/>
      <c r="D39" s="40"/>
      <c r="E39" s="60"/>
      <c r="F39" s="68"/>
      <c r="G39" s="69"/>
      <c r="H39" s="62" t="e">
        <f t="shared" si="1"/>
        <v>#DIV/0!</v>
      </c>
      <c r="I39" s="12" t="e">
        <f t="shared" si="2"/>
        <v>#DIV/0!</v>
      </c>
      <c r="J39" s="13" t="e">
        <f t="shared" si="0"/>
        <v>#N/A</v>
      </c>
      <c r="K39" s="9">
        <f t="shared" si="3"/>
        <v>0</v>
      </c>
      <c r="L39" s="10" t="e">
        <f t="shared" si="4"/>
        <v>#DIV/0!</v>
      </c>
      <c r="M39" s="11" t="e">
        <f t="shared" si="5"/>
        <v>#N/A</v>
      </c>
      <c r="N39" s="13" t="e">
        <f t="shared" si="6"/>
        <v>#DIV/0!</v>
      </c>
      <c r="O39" s="13" t="e">
        <f t="shared" si="7"/>
        <v>#DIV/0!</v>
      </c>
    </row>
    <row r="40" spans="2:15" x14ac:dyDescent="0.3">
      <c r="B40" s="9" t="s">
        <v>34</v>
      </c>
      <c r="C40" s="39"/>
      <c r="D40" s="40"/>
      <c r="E40" s="60"/>
      <c r="F40" s="68"/>
      <c r="G40" s="69"/>
      <c r="H40" s="62" t="e">
        <f t="shared" si="1"/>
        <v>#DIV/0!</v>
      </c>
      <c r="I40" s="12" t="e">
        <f t="shared" si="2"/>
        <v>#DIV/0!</v>
      </c>
      <c r="J40" s="13" t="e">
        <f t="shared" si="0"/>
        <v>#N/A</v>
      </c>
      <c r="K40" s="9">
        <f t="shared" si="3"/>
        <v>0</v>
      </c>
      <c r="L40" s="10" t="e">
        <f t="shared" si="4"/>
        <v>#DIV/0!</v>
      </c>
      <c r="M40" s="11" t="e">
        <f t="shared" si="5"/>
        <v>#N/A</v>
      </c>
      <c r="N40" s="13" t="e">
        <f t="shared" si="6"/>
        <v>#DIV/0!</v>
      </c>
      <c r="O40" s="13" t="e">
        <f t="shared" si="7"/>
        <v>#DIV/0!</v>
      </c>
    </row>
    <row r="41" spans="2:15" x14ac:dyDescent="0.3">
      <c r="B41" s="9" t="s">
        <v>35</v>
      </c>
      <c r="C41" s="39"/>
      <c r="D41" s="40"/>
      <c r="E41" s="60"/>
      <c r="F41" s="68"/>
      <c r="G41" s="69"/>
      <c r="H41" s="62" t="e">
        <f t="shared" si="1"/>
        <v>#DIV/0!</v>
      </c>
      <c r="I41" s="12" t="e">
        <f t="shared" si="2"/>
        <v>#DIV/0!</v>
      </c>
      <c r="J41" s="13" t="e">
        <f t="shared" si="0"/>
        <v>#N/A</v>
      </c>
      <c r="K41" s="9">
        <f t="shared" si="3"/>
        <v>0</v>
      </c>
      <c r="L41" s="10" t="e">
        <f t="shared" si="4"/>
        <v>#DIV/0!</v>
      </c>
      <c r="M41" s="11" t="e">
        <f t="shared" si="5"/>
        <v>#N/A</v>
      </c>
      <c r="N41" s="13" t="e">
        <f t="shared" si="6"/>
        <v>#DIV/0!</v>
      </c>
      <c r="O41" s="13" t="e">
        <f t="shared" si="7"/>
        <v>#DIV/0!</v>
      </c>
    </row>
    <row r="42" spans="2:15" ht="12.75" thickBot="1" x14ac:dyDescent="0.35">
      <c r="B42" s="7" t="s">
        <v>36</v>
      </c>
      <c r="C42" s="41"/>
      <c r="D42" s="42"/>
      <c r="E42" s="61"/>
      <c r="F42" s="70"/>
      <c r="G42" s="71"/>
      <c r="H42" s="63" t="e">
        <f t="shared" si="1"/>
        <v>#DIV/0!</v>
      </c>
      <c r="I42" s="15" t="e">
        <f t="shared" si="2"/>
        <v>#DIV/0!</v>
      </c>
      <c r="J42" s="16" t="e">
        <f t="shared" si="0"/>
        <v>#N/A</v>
      </c>
      <c r="K42" s="7">
        <f t="shared" si="3"/>
        <v>0</v>
      </c>
      <c r="L42" s="8" t="e">
        <f t="shared" si="4"/>
        <v>#DIV/0!</v>
      </c>
      <c r="M42" s="14" t="e">
        <f t="shared" si="5"/>
        <v>#N/A</v>
      </c>
      <c r="N42" s="16" t="e">
        <f t="shared" si="6"/>
        <v>#DIV/0!</v>
      </c>
      <c r="O42" s="16" t="e">
        <f t="shared" si="7"/>
        <v>#DIV/0!</v>
      </c>
    </row>
    <row r="43" spans="2:15" s="17" customFormat="1" ht="11.25" x14ac:dyDescent="0.3">
      <c r="B43" s="18"/>
      <c r="D43" s="18"/>
      <c r="E43" s="18"/>
      <c r="F43" s="18"/>
      <c r="G43" s="18"/>
      <c r="H43" s="18"/>
    </row>
    <row r="44" spans="2:15" s="17" customFormat="1" ht="11.25" x14ac:dyDescent="0.3">
      <c r="B44" s="18"/>
      <c r="D44" s="18"/>
      <c r="E44" s="18"/>
      <c r="G44" s="18"/>
      <c r="H44" s="18"/>
    </row>
    <row r="45" spans="2:15" s="17" customFormat="1" ht="11.25" x14ac:dyDescent="0.3">
      <c r="B45" s="18"/>
      <c r="D45" s="18"/>
      <c r="E45" s="18"/>
      <c r="G45" s="18"/>
      <c r="H45" s="18"/>
    </row>
    <row r="46" spans="2:15" x14ac:dyDescent="0.3">
      <c r="D46" s="1"/>
      <c r="E46" s="1"/>
    </row>
    <row r="47" spans="2:15" x14ac:dyDescent="0.3">
      <c r="D47" s="1"/>
      <c r="E47" s="1"/>
    </row>
    <row r="48" spans="2:15" x14ac:dyDescent="0.3">
      <c r="D48" s="1"/>
      <c r="E48" s="1"/>
    </row>
    <row r="49" spans="4:5" x14ac:dyDescent="0.3">
      <c r="D49" s="1"/>
      <c r="E49" s="1"/>
    </row>
    <row r="50" spans="4:5" x14ac:dyDescent="0.3">
      <c r="D50" s="1"/>
      <c r="E50" s="1"/>
    </row>
  </sheetData>
  <mergeCells count="1">
    <mergeCell ref="B1:F2"/>
  </mergeCells>
  <phoneticPr fontId="1" type="noConversion"/>
  <conditionalFormatting sqref="O6:O42">
    <cfRule type="cellIs" dxfId="0" priority="1" operator="lessThan">
      <formula>6</formula>
    </cfRule>
  </conditionalFormatting>
  <pageMargins left="0.39370078740157483" right="0.39370078740157483" top="0.39370078740157483" bottom="0.39370078740157483" header="0.31496062992125984" footer="0.31496062992125984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점수 기재 양식</vt:lpstr>
      <vt:lpstr>시뮬레이션 사례</vt:lpstr>
      <vt:lpstr>점수 기재 양식 (함수문 포함)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형진 김</dc:creator>
  <cp:lastModifiedBy>형진 김</cp:lastModifiedBy>
  <cp:lastPrinted>2026-08-02T08:16:20Z</cp:lastPrinted>
  <dcterms:created xsi:type="dcterms:W3CDTF">2026-08-01T14:46:33Z</dcterms:created>
  <dcterms:modified xsi:type="dcterms:W3CDTF">2026-08-02T08:18:12Z</dcterms:modified>
</cp:coreProperties>
</file>